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9-15.03" sheetId="1" state="visible" r:id="rId1"/>
    <sheet xmlns:r="http://schemas.openxmlformats.org/officeDocument/2006/relationships" name="16-22.03" sheetId="2" state="visible" r:id="rId2"/>
    <sheet xmlns:r="http://schemas.openxmlformats.org/officeDocument/2006/relationships" name="23.03-29.03" sheetId="3" state="visible" r:id="rId3"/>
    <sheet xmlns:r="http://schemas.openxmlformats.org/officeDocument/2006/relationships" name="30.03-05.04" sheetId="4" state="visible" r:id="rId4"/>
    <sheet xmlns:r="http://schemas.openxmlformats.org/officeDocument/2006/relationships" name="06.04-12.04" sheetId="5" state="visible" r:id="rId5"/>
    <sheet xmlns:r="http://schemas.openxmlformats.org/officeDocument/2006/relationships" name="13.04-19.04" sheetId="6" state="visible" r:id="rId6"/>
    <sheet xmlns:r="http://schemas.openxmlformats.org/officeDocument/2006/relationships" name="20.04-26.04" sheetId="7" state="visible" r:id="rId7"/>
    <sheet xmlns:r="http://schemas.openxmlformats.org/officeDocument/2006/relationships" name="Лист8" sheetId="8" state="visible" r:id="rId8"/>
    <sheet xmlns:r="http://schemas.openxmlformats.org/officeDocument/2006/relationships" name="Лист8_conflict2083086910" sheetId="9" state="visible" r:id="rId9"/>
    <sheet xmlns:r="http://schemas.openxmlformats.org/officeDocument/2006/relationships" name="Апрель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\▲0%;\▼0%"/>
    <numFmt numFmtId="165" formatCode="0.0"/>
    <numFmt numFmtId="166" formatCode="#,##0.0"/>
  </numFmts>
  <fonts count="33">
    <font>
      <name val="Calibri"/>
      <color theme="1"/>
      <sz val="11"/>
      <scheme val="minor"/>
    </font>
    <font>
      <name val="Calibri"/>
      <b val="1"/>
      <color theme="1"/>
      <sz val="15"/>
    </font>
    <font/>
    <font>
      <name val="Arial"/>
      <color theme="1"/>
    </font>
    <font>
      <name val="Quattrocento Sans"/>
      <color rgb="FF333333"/>
      <sz val="11"/>
    </font>
    <font>
      <name val="Calibri"/>
      <color theme="1"/>
      <sz val="11"/>
    </font>
    <font>
      <name val="Calibri"/>
      <color rgb="FFFF0000"/>
      <sz val="15"/>
    </font>
    <font>
      <name val="Calibri"/>
      <color theme="1"/>
      <sz val="16"/>
    </font>
    <font>
      <name val="Calibri"/>
      <color rgb="FF70AD47"/>
      <sz val="15"/>
    </font>
    <font>
      <name val="Calibri"/>
      <color theme="1"/>
      <sz val="15"/>
    </font>
    <font>
      <name val="Calibri"/>
      <b val="1"/>
      <color theme="1"/>
      <sz val="16"/>
    </font>
    <font>
      <name val="Arial"/>
      <color theme="1"/>
      <sz val="16"/>
    </font>
    <font>
      <name val="Calibri"/>
      <color theme="9"/>
      <sz val="15"/>
    </font>
    <font>
      <name val="Calibri"/>
      <color theme="1"/>
      <scheme val="minor"/>
    </font>
    <font>
      <name val="Arial"/>
      <b val="1"/>
      <color theme="1"/>
      <sz val="14"/>
    </font>
    <font>
      <name val="Calibri"/>
      <color rgb="FF6AA84F"/>
      <sz val="15"/>
    </font>
    <font>
      <name val="Quattrocento Sans"/>
      <color rgb="FF333333"/>
      <sz val="14"/>
    </font>
    <font>
      <name val="Calibri"/>
      <color rgb="FF000000"/>
      <sz val="15"/>
    </font>
    <font>
      <name val="Quattrocento Sans"/>
      <color rgb="FF333333"/>
      <sz val="15"/>
    </font>
    <font>
      <name val="Calibri"/>
      <color rgb="FFCC0000"/>
      <sz val="15"/>
    </font>
    <font>
      <name val="Calibri"/>
      <color theme="1"/>
      <sz val="15"/>
      <scheme val="minor"/>
    </font>
    <font>
      <b val="1"/>
      <color rgb="00FFFFFF"/>
      <sz val="13"/>
    </font>
    <font>
      <b val="1"/>
      <color rgb="00FFFFFF"/>
      <sz val="11"/>
    </font>
    <font>
      <sz val="11"/>
    </font>
    <font>
      <color rgb="007F6000"/>
      <sz val="11"/>
    </font>
    <font>
      <b val="1"/>
      <color rgb="00375623"/>
      <sz val="11"/>
    </font>
    <font>
      <b val="1"/>
      <sz val="11"/>
    </font>
    <font>
      <b val="1"/>
      <color rgb="00FFFFFF"/>
      <sz val="10"/>
    </font>
    <font>
      <color rgb="00FFFFFF"/>
      <sz val="10"/>
    </font>
    <font>
      <color rgb="001F3864"/>
      <sz val="10"/>
    </font>
    <font>
      <b val="1"/>
      <color rgb="001F3864"/>
      <sz val="10"/>
    </font>
    <font>
      <b val="1"/>
      <color rgb="00C00000"/>
      <sz val="10"/>
    </font>
    <font>
      <b val="1"/>
      <color rgb="00375623"/>
      <sz val="10"/>
    </font>
  </fonts>
  <fills count="20">
    <fill>
      <patternFill/>
    </fill>
    <fill>
      <patternFill patternType="lightGray"/>
    </fill>
    <fill>
      <patternFill patternType="solid">
        <fgColor rgb="FFCCFF33"/>
        <bgColor rgb="FFCCFF33"/>
      </patternFill>
    </fill>
    <fill>
      <patternFill patternType="solid">
        <fgColor rgb="FFECECEC"/>
        <bgColor rgb="FFECECEC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ED7D31"/>
        <bgColor rgb="FFED7D31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9999FF"/>
        <bgColor rgb="FF9999FF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797"/>
      </patternFill>
    </fill>
    <fill>
      <patternFill patternType="solid">
        <fgColor rgb="00EEF2F8"/>
      </patternFill>
    </fill>
    <fill>
      <patternFill patternType="solid">
        <fgColor rgb="00FFFFFF"/>
      </patternFill>
    </fill>
  </fills>
  <borders count="2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 wrapText="1"/>
    </xf>
    <xf numFmtId="0" fontId="1" fillId="2" borderId="2" applyAlignment="1" pivotButton="0" quotePrefix="0" xfId="0">
      <alignment horizontal="center" vertical="bottom"/>
    </xf>
    <xf numFmtId="0" fontId="2" fillId="0" borderId="3" pivotButton="0" quotePrefix="0" xfId="0"/>
    <xf numFmtId="0" fontId="1" fillId="3" borderId="4" applyAlignment="1" pivotButton="0" quotePrefix="0" xfId="0">
      <alignment horizontal="center" vertical="bottom" wrapText="1"/>
    </xf>
    <xf numFmtId="0" fontId="1" fillId="2" borderId="2" applyAlignment="1" pivotButton="0" quotePrefix="0" xfId="0">
      <alignment horizontal="center" vertical="bottom" wrapText="1"/>
    </xf>
    <xf numFmtId="0" fontId="1" fillId="3" borderId="5" applyAlignment="1" pivotButton="0" quotePrefix="0" xfId="0">
      <alignment horizontal="center" vertical="bottom" wrapText="1"/>
    </xf>
    <xf numFmtId="0" fontId="3" fillId="0" borderId="6" applyAlignment="1" pivotButton="0" quotePrefix="0" xfId="0">
      <alignment vertical="bottom"/>
    </xf>
    <xf numFmtId="0" fontId="1" fillId="2" borderId="7" applyAlignment="1" pivotButton="0" quotePrefix="0" xfId="0">
      <alignment horizontal="center" vertical="bottom" wrapText="1"/>
    </xf>
    <xf numFmtId="0" fontId="3" fillId="3" borderId="8" applyAlignment="1" pivotButton="0" quotePrefix="0" xfId="0">
      <alignment vertical="bottom"/>
    </xf>
    <xf numFmtId="0" fontId="1" fillId="2" borderId="7" applyAlignment="1" pivotButton="0" quotePrefix="0" xfId="0">
      <alignment horizontal="center" vertical="bottom" wrapText="1"/>
    </xf>
    <xf numFmtId="0" fontId="2" fillId="0" borderId="9" pivotButton="0" quotePrefix="0" xfId="0"/>
    <xf numFmtId="0" fontId="4" fillId="4" borderId="10" applyAlignment="1" pivotButton="0" quotePrefix="0" xfId="0">
      <alignment vertical="bottom"/>
    </xf>
    <xf numFmtId="1" fontId="5" fillId="5" borderId="10" applyAlignment="1" pivotButton="0" quotePrefix="0" xfId="0">
      <alignment horizontal="center" vertical="bottom"/>
    </xf>
    <xf numFmtId="1" fontId="5" fillId="4" borderId="10" applyAlignment="1" pivotButton="0" quotePrefix="0" xfId="0">
      <alignment horizontal="center" vertical="bottom"/>
    </xf>
    <xf numFmtId="164" fontId="6" fillId="5" borderId="11" applyAlignment="1" pivotButton="0" quotePrefix="0" xfId="0">
      <alignment horizontal="center" vertical="bottom"/>
    </xf>
    <xf numFmtId="165" fontId="7" fillId="0" borderId="12" applyAlignment="1" pivotButton="0" quotePrefix="0" xfId="0">
      <alignment horizontal="right" vertical="bottom"/>
    </xf>
    <xf numFmtId="164" fontId="6" fillId="3" borderId="11" applyAlignment="1" pivotButton="0" quotePrefix="0" xfId="0">
      <alignment horizontal="center" vertical="bottom"/>
    </xf>
    <xf numFmtId="166" fontId="7" fillId="0" borderId="10" applyAlignment="1" pivotButton="0" quotePrefix="0" xfId="0">
      <alignment horizontal="right" vertical="bottom"/>
    </xf>
    <xf numFmtId="164" fontId="8" fillId="5" borderId="11" applyAlignment="1" pivotButton="0" quotePrefix="0" xfId="0">
      <alignment horizontal="center" vertical="bottom"/>
    </xf>
    <xf numFmtId="165" fontId="7" fillId="0" borderId="12" applyAlignment="1" pivotButton="0" quotePrefix="0" xfId="0">
      <alignment horizontal="right" vertical="bottom"/>
    </xf>
    <xf numFmtId="0" fontId="4" fillId="6" borderId="10" applyAlignment="1" pivotButton="0" quotePrefix="0" xfId="0">
      <alignment vertical="bottom"/>
    </xf>
    <xf numFmtId="0" fontId="5" fillId="5" borderId="10" applyAlignment="1" pivotButton="0" quotePrefix="0" xfId="0">
      <alignment horizontal="center" vertical="bottom" wrapText="1"/>
    </xf>
    <xf numFmtId="0" fontId="5" fillId="6" borderId="10" applyAlignment="1" pivotButton="0" quotePrefix="0" xfId="0">
      <alignment horizontal="center" vertical="bottom" wrapText="1"/>
    </xf>
    <xf numFmtId="166" fontId="7" fillId="0" borderId="10" applyAlignment="1" pivotButton="0" quotePrefix="0" xfId="0">
      <alignment horizontal="right" vertical="bottom"/>
    </xf>
    <xf numFmtId="165" fontId="7" fillId="0" borderId="13" applyAlignment="1" pivotButton="0" quotePrefix="0" xfId="0">
      <alignment horizontal="right" vertical="bottom"/>
    </xf>
    <xf numFmtId="164" fontId="8" fillId="5" borderId="14" applyAlignment="1" pivotButton="0" quotePrefix="0" xfId="0">
      <alignment horizontal="center" vertical="bottom"/>
    </xf>
    <xf numFmtId="166" fontId="7" fillId="0" borderId="15" applyAlignment="1" pivotButton="0" quotePrefix="0" xfId="0">
      <alignment horizontal="right" vertical="bottom"/>
    </xf>
    <xf numFmtId="164" fontId="6" fillId="5" borderId="14" applyAlignment="1" pivotButton="0" quotePrefix="0" xfId="0">
      <alignment horizontal="center" vertical="bottom"/>
    </xf>
    <xf numFmtId="0" fontId="5" fillId="6" borderId="10" applyAlignment="1" pivotButton="0" quotePrefix="0" xfId="0">
      <alignment horizontal="center" vertical="bottom" wrapText="1"/>
    </xf>
    <xf numFmtId="165" fontId="7" fillId="0" borderId="10" applyAlignment="1" pivotButton="0" quotePrefix="0" xfId="0">
      <alignment horizontal="right" vertical="bottom"/>
    </xf>
    <xf numFmtId="165" fontId="7" fillId="0" borderId="10" applyAlignment="1" pivotButton="0" quotePrefix="0" xfId="0">
      <alignment horizontal="right" vertical="bottom"/>
    </xf>
    <xf numFmtId="0" fontId="9" fillId="5" borderId="10" applyAlignment="1" pivotButton="0" quotePrefix="0" xfId="0">
      <alignment horizontal="center" vertical="bottom"/>
    </xf>
    <xf numFmtId="1" fontId="5" fillId="6" borderId="10" applyAlignment="1" pivotButton="0" quotePrefix="0" xfId="0">
      <alignment vertical="bottom"/>
    </xf>
    <xf numFmtId="0" fontId="3" fillId="5" borderId="10" applyAlignment="1" pivotButton="0" quotePrefix="0" xfId="0">
      <alignment vertical="bottom"/>
    </xf>
    <xf numFmtId="0" fontId="5" fillId="6" borderId="10" applyAlignment="1" pivotButton="0" quotePrefix="0" xfId="0">
      <alignment horizontal="center" vertical="bottom"/>
    </xf>
    <xf numFmtId="165" fontId="7" fillId="5" borderId="16" applyAlignment="1" pivotButton="0" quotePrefix="0" xfId="0">
      <alignment horizontal="right" vertical="bottom"/>
    </xf>
    <xf numFmtId="165" fontId="7" fillId="5" borderId="16" applyAlignment="1" pivotButton="0" quotePrefix="0" xfId="0">
      <alignment horizontal="right" vertical="bottom"/>
    </xf>
    <xf numFmtId="165" fontId="10" fillId="5" borderId="16" applyAlignment="1" pivotButton="0" quotePrefix="0" xfId="0">
      <alignment horizontal="right" vertical="bottom"/>
    </xf>
    <xf numFmtId="165" fontId="10" fillId="5" borderId="16" applyAlignment="1" pivotButton="0" quotePrefix="0" xfId="0">
      <alignment horizontal="right" vertical="bottom"/>
    </xf>
    <xf numFmtId="164" fontId="6" fillId="5" borderId="17" applyAlignment="1" pivotButton="0" quotePrefix="0" xfId="0">
      <alignment horizontal="center" vertical="bottom"/>
    </xf>
    <xf numFmtId="0" fontId="11" fillId="0" borderId="10" applyAlignment="1" pivotButton="0" quotePrefix="0" xfId="0">
      <alignment horizontal="right" vertical="bottom"/>
    </xf>
    <xf numFmtId="0" fontId="11" fillId="0" borderId="10" applyAlignment="1" pivotButton="0" quotePrefix="0" xfId="0">
      <alignment horizontal="right" vertical="bottom"/>
    </xf>
    <xf numFmtId="164" fontId="6" fillId="5" borderId="10" applyAlignment="1" pivotButton="0" quotePrefix="0" xfId="0">
      <alignment horizontal="center" vertical="bottom"/>
    </xf>
    <xf numFmtId="0" fontId="4" fillId="7" borderId="10" applyAlignment="1" pivotButton="0" quotePrefix="0" xfId="0">
      <alignment vertical="bottom"/>
    </xf>
    <xf numFmtId="0" fontId="5" fillId="7" borderId="10" applyAlignment="1" pivotButton="0" quotePrefix="0" xfId="0">
      <alignment horizontal="center" vertical="bottom"/>
    </xf>
    <xf numFmtId="164" fontId="8" fillId="5" borderId="17" applyAlignment="1" pivotButton="0" quotePrefix="0" xfId="0">
      <alignment horizontal="center" vertical="bottom"/>
    </xf>
    <xf numFmtId="164" fontId="8" fillId="5" borderId="10" applyAlignment="1" pivotButton="0" quotePrefix="0" xfId="0">
      <alignment horizontal="center" vertical="bottom"/>
    </xf>
    <xf numFmtId="0" fontId="4" fillId="8" borderId="10" applyAlignment="1" pivotButton="0" quotePrefix="0" xfId="0">
      <alignment vertical="bottom"/>
    </xf>
    <xf numFmtId="0" fontId="5" fillId="8" borderId="10" applyAlignment="1" pivotButton="0" quotePrefix="0" xfId="0">
      <alignment horizontal="center" vertical="bottom"/>
    </xf>
    <xf numFmtId="0" fontId="5" fillId="8" borderId="10" applyAlignment="1" pivotButton="0" quotePrefix="0" xfId="0">
      <alignment horizontal="center" vertical="bottom"/>
    </xf>
    <xf numFmtId="0" fontId="4" fillId="9" borderId="10" applyAlignment="1" pivotButton="0" quotePrefix="0" xfId="0">
      <alignment vertical="bottom"/>
    </xf>
    <xf numFmtId="0" fontId="5" fillId="10" borderId="10" applyAlignment="1" pivotButton="0" quotePrefix="0" xfId="0">
      <alignment horizontal="center" vertical="bottom"/>
    </xf>
    <xf numFmtId="0" fontId="5" fillId="11" borderId="10" applyAlignment="1" pivotButton="0" quotePrefix="0" xfId="0">
      <alignment vertical="bottom"/>
    </xf>
    <xf numFmtId="0" fontId="5" fillId="5" borderId="10" applyAlignment="1" pivotButton="0" quotePrefix="0" xfId="0">
      <alignment horizontal="center" vertical="bottom"/>
    </xf>
    <xf numFmtId="0" fontId="5" fillId="11" borderId="10" applyAlignment="1" pivotButton="0" quotePrefix="0" xfId="0">
      <alignment horizontal="center" vertical="bottom"/>
    </xf>
    <xf numFmtId="0" fontId="3" fillId="0" borderId="10" applyAlignment="1" pivotButton="0" quotePrefix="0" xfId="0">
      <alignment vertical="bottom"/>
    </xf>
    <xf numFmtId="165" fontId="7" fillId="0" borderId="13" applyAlignment="1" pivotButton="0" quotePrefix="0" xfId="0">
      <alignment horizontal="right" vertical="bottom"/>
    </xf>
    <xf numFmtId="166" fontId="7" fillId="0" borderId="15" applyAlignment="1" pivotButton="0" quotePrefix="0" xfId="0">
      <alignment horizontal="right" vertical="bottom"/>
    </xf>
    <xf numFmtId="0" fontId="8" fillId="5" borderId="11" applyAlignment="1" pivotButton="0" quotePrefix="0" xfId="0">
      <alignment horizontal="center" vertical="bottom"/>
    </xf>
    <xf numFmtId="0" fontId="8" fillId="5" borderId="11" applyAlignment="1" pivotButton="0" quotePrefix="0" xfId="0">
      <alignment horizontal="center" vertical="bottom"/>
    </xf>
    <xf numFmtId="164" fontId="12" fillId="5" borderId="10" applyAlignment="1" pivotButton="0" quotePrefix="0" xfId="0">
      <alignment horizontal="center" vertical="bottom"/>
    </xf>
    <xf numFmtId="0" fontId="3" fillId="12" borderId="10" applyAlignment="1" pivotButton="0" quotePrefix="0" xfId="0">
      <alignment vertical="bottom"/>
    </xf>
    <xf numFmtId="0" fontId="3" fillId="12" borderId="10" applyAlignment="1" pivotButton="0" quotePrefix="0" xfId="0">
      <alignment vertical="bottom"/>
    </xf>
    <xf numFmtId="0" fontId="3" fillId="5" borderId="10" applyAlignment="1" pivotButton="0" quotePrefix="0" xfId="0">
      <alignment vertical="bottom"/>
    </xf>
    <xf numFmtId="0" fontId="5" fillId="5" borderId="10" applyAlignment="1" pivotButton="0" quotePrefix="0" xfId="0">
      <alignment horizontal="center" vertical="bottom" wrapText="1"/>
    </xf>
    <xf numFmtId="0" fontId="13" fillId="13" borderId="0" pivotButton="0" quotePrefix="0" xfId="0"/>
    <xf numFmtId="0" fontId="5" fillId="5" borderId="10" applyAlignment="1" pivotButton="0" quotePrefix="0" xfId="0">
      <alignment horizontal="center" vertical="bottom"/>
    </xf>
    <xf numFmtId="0" fontId="3" fillId="0" borderId="10" applyAlignment="1" pivotButton="0" quotePrefix="0" xfId="0">
      <alignment vertical="bottom"/>
    </xf>
    <xf numFmtId="0" fontId="14" fillId="0" borderId="10" applyAlignment="1" pivotButton="0" quotePrefix="0" xfId="0">
      <alignment vertical="bottom"/>
    </xf>
    <xf numFmtId="1" fontId="5" fillId="5" borderId="10" applyAlignment="1" pivotButton="0" quotePrefix="0" xfId="0">
      <alignment horizontal="center" vertical="bottom"/>
    </xf>
    <xf numFmtId="164" fontId="15" fillId="3" borderId="11" applyAlignment="1" pivotButton="0" quotePrefix="0" xfId="0">
      <alignment horizontal="center" vertical="bottom"/>
    </xf>
    <xf numFmtId="0" fontId="3" fillId="5" borderId="10" applyAlignment="1" pivotButton="0" quotePrefix="0" xfId="0">
      <alignment horizontal="center" vertical="bottom"/>
    </xf>
    <xf numFmtId="164" fontId="15" fillId="5" borderId="17" applyAlignment="1" pivotButton="0" quotePrefix="0" xfId="0">
      <alignment horizontal="center" vertical="bottom"/>
    </xf>
    <xf numFmtId="0" fontId="3" fillId="12" borderId="10" applyAlignment="1" pivotButton="0" quotePrefix="0" xfId="0">
      <alignment horizontal="center" vertical="bottom"/>
    </xf>
    <xf numFmtId="0" fontId="16" fillId="8" borderId="10" applyAlignment="1" pivotButton="0" quotePrefix="0" xfId="0">
      <alignment vertical="bottom"/>
    </xf>
    <xf numFmtId="164" fontId="17" fillId="5" borderId="10" applyAlignment="1" pivotButton="0" quotePrefix="0" xfId="0">
      <alignment horizontal="center" vertical="bottom"/>
    </xf>
    <xf numFmtId="164" fontId="15" fillId="5" borderId="10" applyAlignment="1" pivotButton="0" quotePrefix="0" xfId="0">
      <alignment horizontal="center" vertical="bottom"/>
    </xf>
    <xf numFmtId="0" fontId="18" fillId="14" borderId="10" applyAlignment="1" pivotButton="0" quotePrefix="0" xfId="0">
      <alignment vertical="bottom"/>
    </xf>
    <xf numFmtId="0" fontId="3" fillId="14" borderId="10" applyAlignment="1" pivotButton="0" quotePrefix="0" xfId="0">
      <alignment horizontal="center" vertical="bottom"/>
    </xf>
    <xf numFmtId="0" fontId="5" fillId="14" borderId="10" applyAlignment="1" pivotButton="0" quotePrefix="0" xfId="0">
      <alignment horizontal="center" vertical="bottom"/>
    </xf>
    <xf numFmtId="166" fontId="3" fillId="0" borderId="10" applyAlignment="1" pivotButton="0" quotePrefix="0" xfId="0">
      <alignment vertical="bottom"/>
    </xf>
    <xf numFmtId="164" fontId="15" fillId="5" borderId="11" applyAlignment="1" pivotButton="0" quotePrefix="0" xfId="0">
      <alignment horizontal="center" vertical="bottom"/>
    </xf>
    <xf numFmtId="0" fontId="13" fillId="0" borderId="0" pivotButton="0" quotePrefix="0" xfId="0"/>
    <xf numFmtId="0" fontId="5" fillId="13" borderId="10" applyAlignment="1" pivotButton="0" quotePrefix="0" xfId="0">
      <alignment vertical="bottom"/>
    </xf>
    <xf numFmtId="164" fontId="15" fillId="5" borderId="14" applyAlignment="1" pivotButton="0" quotePrefix="0" xfId="0">
      <alignment horizontal="center" vertical="bottom"/>
    </xf>
    <xf numFmtId="164" fontId="19" fillId="5" borderId="17" applyAlignment="1" pivotButton="0" quotePrefix="0" xfId="0">
      <alignment horizontal="center" vertical="bottom"/>
    </xf>
    <xf numFmtId="0" fontId="20" fillId="0" borderId="10" applyAlignment="1" pivotButton="0" quotePrefix="0" xfId="0">
      <alignment horizontal="center"/>
    </xf>
    <xf numFmtId="0" fontId="20" fillId="0" borderId="10" pivotButton="0" quotePrefix="0" xfId="0"/>
    <xf numFmtId="10" fontId="20" fillId="0" borderId="10" applyAlignment="1" pivotButton="0" quotePrefix="0" xfId="0">
      <alignment horizontal="center"/>
    </xf>
    <xf numFmtId="0" fontId="0" fillId="0" borderId="0" pivotButton="0" quotePrefix="0" xfId="0"/>
    <xf numFmtId="0" fontId="1" fillId="2" borderId="18" applyAlignment="1" pivotButton="0" quotePrefix="0" xfId="0">
      <alignment horizontal="center" vertical="bottom"/>
    </xf>
    <xf numFmtId="0" fontId="0" fillId="0" borderId="20" pivotButton="0" quotePrefix="0" xfId="0"/>
    <xf numFmtId="0" fontId="1" fillId="2" borderId="18" applyAlignment="1" pivotButton="0" quotePrefix="0" xfId="0">
      <alignment horizontal="center" vertical="bottom" wrapText="1"/>
    </xf>
    <xf numFmtId="0" fontId="1" fillId="3" borderId="21" applyAlignment="1" pivotButton="0" quotePrefix="0" xfId="0">
      <alignment horizontal="center" vertical="bottom" wrapText="1"/>
    </xf>
    <xf numFmtId="0" fontId="0" fillId="0" borderId="9" pivotButton="0" quotePrefix="0" xfId="0"/>
    <xf numFmtId="0" fontId="21" fillId="15" borderId="0" applyAlignment="1" pivotButton="0" quotePrefix="0" xfId="0">
      <alignment horizontal="center" vertical="center"/>
    </xf>
    <xf numFmtId="0" fontId="22" fillId="15" borderId="24" applyAlignment="1" pivotButton="0" quotePrefix="0" xfId="0">
      <alignment horizontal="center" vertical="center"/>
    </xf>
    <xf numFmtId="0" fontId="23" fillId="0" borderId="24" applyAlignment="1" pivotButton="0" quotePrefix="0" xfId="0">
      <alignment horizontal="left" vertical="center"/>
    </xf>
    <xf numFmtId="0" fontId="23" fillId="0" borderId="24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5" fillId="0" borderId="24" applyAlignment="1" pivotButton="0" quotePrefix="0" xfId="0">
      <alignment horizontal="center" vertical="center"/>
    </xf>
    <xf numFmtId="0" fontId="26" fillId="16" borderId="24" applyAlignment="1" pivotButton="0" quotePrefix="0" xfId="0">
      <alignment horizontal="left" vertical="center"/>
    </xf>
    <xf numFmtId="0" fontId="26" fillId="16" borderId="24" applyAlignment="1" pivotButton="0" quotePrefix="0" xfId="0">
      <alignment horizontal="center" vertical="center"/>
    </xf>
    <xf numFmtId="0" fontId="27" fillId="15" borderId="24" applyAlignment="1" pivotButton="0" quotePrefix="0" xfId="0">
      <alignment horizontal="left" vertical="center"/>
    </xf>
    <xf numFmtId="0" fontId="27" fillId="17" borderId="24" applyAlignment="1" pivotButton="0" quotePrefix="0" xfId="0">
      <alignment horizontal="center" vertical="center" wrapText="1"/>
    </xf>
    <xf numFmtId="0" fontId="0" fillId="15" borderId="24" pivotButton="0" quotePrefix="0" xfId="0"/>
    <xf numFmtId="0" fontId="28" fillId="17" borderId="24" applyAlignment="1" pivotButton="0" quotePrefix="0" xfId="0">
      <alignment horizontal="center" vertical="center" wrapText="1"/>
    </xf>
    <xf numFmtId="0" fontId="29" fillId="18" borderId="24" applyAlignment="1" pivotButton="0" quotePrefix="0" xfId="0">
      <alignment horizontal="left" vertical="center"/>
    </xf>
    <xf numFmtId="0" fontId="29" fillId="18" borderId="24" applyAlignment="1" pivotButton="0" quotePrefix="0" xfId="0">
      <alignment horizontal="center" vertical="center" wrapText="1"/>
    </xf>
    <xf numFmtId="0" fontId="30" fillId="18" borderId="24" applyAlignment="1" pivotButton="0" quotePrefix="0" xfId="0">
      <alignment horizontal="center" vertical="center" wrapText="1"/>
    </xf>
    <xf numFmtId="0" fontId="31" fillId="18" borderId="24" applyAlignment="1" pivotButton="0" quotePrefix="0" xfId="0">
      <alignment horizontal="center" vertical="center" wrapText="1"/>
    </xf>
    <xf numFmtId="0" fontId="29" fillId="19" borderId="24" applyAlignment="1" pivotButton="0" quotePrefix="0" xfId="0">
      <alignment horizontal="left" vertical="center"/>
    </xf>
    <xf numFmtId="0" fontId="29" fillId="19" borderId="24" applyAlignment="1" pivotButton="0" quotePrefix="0" xfId="0">
      <alignment horizontal="center" vertical="center" wrapText="1"/>
    </xf>
    <xf numFmtId="0" fontId="30" fillId="19" borderId="24" applyAlignment="1" pivotButton="0" quotePrefix="0" xfId="0">
      <alignment horizontal="center" vertical="center" wrapText="1"/>
    </xf>
    <xf numFmtId="0" fontId="32" fillId="19" borderId="24" applyAlignment="1" pivotButton="0" quotePrefix="0" xfId="0">
      <alignment horizontal="center" vertical="center" wrapText="1"/>
    </xf>
    <xf numFmtId="0" fontId="31" fillId="19" borderId="24" applyAlignment="1" pivotButton="0" quotePrefix="0" xfId="0">
      <alignment horizontal="center" vertical="center" wrapText="1"/>
    </xf>
    <xf numFmtId="0" fontId="32" fillId="18" borderId="24" applyAlignment="1" pivotButton="0" quotePrefix="0" xfId="0">
      <alignment horizontal="center" vertical="center" wrapText="1"/>
    </xf>
    <xf numFmtId="0" fontId="30" fillId="16" borderId="24" applyAlignment="1" pivotButton="0" quotePrefix="0" xfId="0">
      <alignment horizontal="left" vertical="center"/>
    </xf>
    <xf numFmtId="0" fontId="30" fillId="16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J23"/>
  <sheetViews>
    <sheetView workbookViewId="0">
      <selection activeCell="A1" sqref="A1"/>
    </sheetView>
  </sheetViews>
  <sheetFormatPr baseColWidth="8" defaultColWidth="14.43" defaultRowHeight="15" customHeight="1"/>
  <cols>
    <col width="41.86" customWidth="1" style="90" min="1" max="1"/>
    <col width="30.14" customWidth="1" style="90" min="2" max="2"/>
    <col width="24.43" customWidth="1" style="90" min="3" max="3"/>
    <col width="31" customWidth="1" style="90" min="4" max="4"/>
    <col width="21.57" customWidth="1" style="90" min="5" max="5"/>
    <col width="27.14" customWidth="1" style="90" min="6" max="6"/>
    <col width="20.14" customWidth="1" style="90" min="7" max="7"/>
    <col width="21.57" customWidth="1" style="90" min="8" max="8"/>
    <col width="21.14" customWidth="1" style="90" min="9" max="9"/>
    <col width="16.71" customWidth="1" style="90" min="10" max="10"/>
    <col width="8.710000000000001" customWidth="1" style="90" min="11" max="26"/>
  </cols>
  <sheetData>
    <row r="1" ht="15.75" customHeight="1" s="90"/>
    <row r="2" ht="15.75" customHeight="1" s="90"/>
    <row r="3" ht="15.75" customHeight="1" s="90"/>
    <row r="4" ht="15.75" customHeight="1" s="90">
      <c r="A4" s="1" t="inlineStr">
        <is>
          <t>Регион</t>
        </is>
      </c>
      <c r="B4" s="91" t="inlineStr">
        <is>
          <t>Лиды с 9 по 15</t>
        </is>
      </c>
      <c r="C4" s="92" t="n"/>
      <c r="D4" s="4" t="inlineStr">
        <is>
          <t>Динамика Лидов</t>
        </is>
      </c>
      <c r="E4" s="93" t="inlineStr">
        <is>
          <t>Стоимость 
лида</t>
        </is>
      </c>
      <c r="F4" s="92" t="n"/>
      <c r="G4" s="94" t="inlineStr">
        <is>
          <t>Динамика стоимости  (лиды)</t>
        </is>
      </c>
      <c r="H4" s="93" t="inlineStr">
        <is>
          <t xml:space="preserve"> Расход</t>
        </is>
      </c>
      <c r="I4" s="92" t="n"/>
      <c r="J4" s="94" t="inlineStr">
        <is>
          <t>Динамика стоимости  (Затрат)</t>
        </is>
      </c>
    </row>
    <row r="5" ht="15.75" customHeight="1" s="90">
      <c r="A5" s="7" t="n"/>
      <c r="B5" s="10" t="inlineStr">
        <is>
          <t xml:space="preserve">План </t>
        </is>
      </c>
      <c r="C5" s="10" t="inlineStr">
        <is>
          <t>Факт</t>
        </is>
      </c>
      <c r="D5" s="9" t="n"/>
      <c r="E5" s="10" t="inlineStr">
        <is>
          <t>с 01 по 08</t>
        </is>
      </c>
      <c r="F5" s="10" t="inlineStr">
        <is>
          <t>с 09 по 15</t>
        </is>
      </c>
      <c r="G5" s="95" t="n"/>
      <c r="H5" s="10" t="inlineStr">
        <is>
          <t>с 01 по 08</t>
        </is>
      </c>
      <c r="I5" s="10" t="inlineStr">
        <is>
          <t>с 09 по 15</t>
        </is>
      </c>
      <c r="J5" s="95" t="n"/>
    </row>
    <row r="6" ht="15.75" customHeight="1" s="90">
      <c r="A6" s="12" t="inlineStr">
        <is>
          <t>МАГНИТ КРД</t>
        </is>
      </c>
      <c r="B6" s="70" t="n">
        <v>425</v>
      </c>
      <c r="C6" s="14" t="n">
        <v>409</v>
      </c>
      <c r="D6" s="15">
        <f>(C6-B6)/C6</f>
        <v/>
      </c>
      <c r="E6" s="20" t="n">
        <v>51</v>
      </c>
      <c r="F6" s="20" t="n">
        <v>46</v>
      </c>
      <c r="G6" s="17">
        <f>(F6-E6)/F6</f>
        <v/>
      </c>
      <c r="H6" s="24" t="n">
        <v>14601</v>
      </c>
      <c r="I6" s="24" t="n">
        <v>19100</v>
      </c>
      <c r="J6" s="19">
        <f>(I6-H6)/I6</f>
        <v/>
      </c>
    </row>
    <row r="7" ht="15.75" customHeight="1" s="90">
      <c r="A7" s="12" t="inlineStr">
        <is>
          <t>ЛЕНТА КРД</t>
        </is>
      </c>
      <c r="B7" s="70" t="n">
        <v>900</v>
      </c>
      <c r="C7" s="14" t="n">
        <v>1025</v>
      </c>
      <c r="D7" s="19">
        <f>(C7-B7)/C7</f>
        <v/>
      </c>
      <c r="E7" s="20" t="n">
        <v>46</v>
      </c>
      <c r="F7" s="20" t="n">
        <v>47</v>
      </c>
      <c r="G7" s="19">
        <f>(F7-E7)/F7</f>
        <v/>
      </c>
      <c r="H7" s="24" t="n">
        <v>44675</v>
      </c>
      <c r="I7" s="24" t="n">
        <v>48062</v>
      </c>
      <c r="J7" s="15">
        <f>(I7-H7)/I7</f>
        <v/>
      </c>
    </row>
    <row r="8" ht="15.75" customHeight="1" s="90">
      <c r="A8" s="12" t="inlineStr">
        <is>
          <t>САДЫ КРД</t>
        </is>
      </c>
      <c r="B8" s="70" t="n">
        <v>250</v>
      </c>
      <c r="C8" s="14" t="n">
        <v>173</v>
      </c>
      <c r="D8" s="15">
        <f>(C8-B8)/C8</f>
        <v/>
      </c>
      <c r="E8" s="20" t="n">
        <v>41</v>
      </c>
      <c r="F8" s="20" t="n">
        <v>61</v>
      </c>
      <c r="G8" s="15">
        <f>(F8-E8)/F8</f>
        <v/>
      </c>
      <c r="H8" s="24" t="n">
        <v>1072</v>
      </c>
      <c r="I8" s="24" t="n">
        <v>8741</v>
      </c>
      <c r="J8" s="19">
        <f>(I8-H8)/I8</f>
        <v/>
      </c>
    </row>
    <row r="9" ht="15.75" customHeight="1" s="90">
      <c r="A9" s="21" t="inlineStr">
        <is>
          <t>ПЯТЕРОЧКА КЗН</t>
        </is>
      </c>
      <c r="B9" s="65" t="n">
        <v>75</v>
      </c>
      <c r="C9" s="29" t="n">
        <v>23</v>
      </c>
      <c r="D9" s="15">
        <f>(C9-B9)/C9</f>
        <v/>
      </c>
      <c r="E9" s="20" t="n">
        <v>70</v>
      </c>
      <c r="F9" s="20" t="n">
        <v>74</v>
      </c>
      <c r="G9" s="17">
        <f>(F9-E9)/F9</f>
        <v/>
      </c>
      <c r="H9" s="24" t="n">
        <v>828</v>
      </c>
      <c r="I9" s="24" t="n">
        <v>936</v>
      </c>
      <c r="J9" s="19">
        <f>(I9-H9)/I9</f>
        <v/>
      </c>
    </row>
    <row r="10" ht="15.75" customHeight="1" s="90">
      <c r="A10" s="21" t="inlineStr">
        <is>
          <t>ТАБЫШ КЗН</t>
        </is>
      </c>
      <c r="B10" s="65" t="n">
        <v>160</v>
      </c>
      <c r="C10" s="29" t="n">
        <v>79</v>
      </c>
      <c r="D10" s="19">
        <f>(C10-B10)/C10</f>
        <v/>
      </c>
      <c r="E10" s="57" t="n">
        <v>51</v>
      </c>
      <c r="F10" s="57" t="n">
        <v>46</v>
      </c>
      <c r="G10" s="26">
        <f>(F10-E10)/F10</f>
        <v/>
      </c>
      <c r="H10" s="58" t="n">
        <v>3817</v>
      </c>
      <c r="I10" s="58" t="n">
        <v>3683</v>
      </c>
      <c r="J10" s="28">
        <f>(I10-H10)/I10</f>
        <v/>
      </c>
    </row>
    <row r="11" ht="15.75" customHeight="1" s="90">
      <c r="A11" s="21" t="inlineStr">
        <is>
          <t>КБ САМАРА( кабинет кзн)</t>
        </is>
      </c>
      <c r="B11" s="65" t="n">
        <v>210</v>
      </c>
      <c r="C11" s="29" t="n">
        <v>304</v>
      </c>
      <c r="D11" s="19">
        <f>(C11-B11)/C11</f>
        <v/>
      </c>
      <c r="E11" s="31" t="n">
        <v>0</v>
      </c>
      <c r="F11" s="31" t="n">
        <v>40</v>
      </c>
      <c r="G11" s="26">
        <f>(F11-E11)/F11</f>
        <v/>
      </c>
      <c r="H11" s="24" t="n">
        <v>0</v>
      </c>
      <c r="I11" s="24" t="n">
        <v>12288</v>
      </c>
      <c r="J11" s="32" t="inlineStr">
        <is>
          <t>-</t>
        </is>
      </c>
    </row>
    <row r="12" ht="15.75" customHeight="1" s="90">
      <c r="A12" s="33" t="inlineStr">
        <is>
          <t>МАГНИТ КЗН</t>
        </is>
      </c>
      <c r="B12" s="64" t="inlineStr">
        <is>
          <t>нету потребности</t>
        </is>
      </c>
      <c r="C12" s="35" t="n">
        <v>0</v>
      </c>
      <c r="D12" s="19">
        <f>(C12-B12)/C12</f>
        <v/>
      </c>
      <c r="E12" s="37" t="n">
        <v>187</v>
      </c>
      <c r="F12" s="37" t="n">
        <v>0</v>
      </c>
      <c r="G12" s="26">
        <f>(F12-E12)/F12</f>
        <v/>
      </c>
      <c r="H12" s="39" t="n">
        <v>563</v>
      </c>
      <c r="I12" s="39" t="n">
        <v>0</v>
      </c>
      <c r="J12" s="32" t="inlineStr">
        <is>
          <t>-</t>
        </is>
      </c>
    </row>
    <row r="13" ht="15.75" customHeight="1" s="90">
      <c r="A13" s="21" t="inlineStr">
        <is>
          <t>ЛЕНТА КЗН</t>
        </is>
      </c>
      <c r="B13" s="65" t="n">
        <v>425</v>
      </c>
      <c r="C13" s="29" t="n">
        <v>444</v>
      </c>
      <c r="D13" s="40">
        <f>(C13-B13)/C13</f>
        <v/>
      </c>
      <c r="E13" s="42" t="n">
        <v>73</v>
      </c>
      <c r="F13" s="42" t="n">
        <v>57</v>
      </c>
      <c r="G13" s="43">
        <f>(F13-E13)/F13</f>
        <v/>
      </c>
      <c r="H13" s="42" t="n">
        <v>48975</v>
      </c>
      <c r="I13" s="42" t="n">
        <v>32945</v>
      </c>
      <c r="J13" s="43">
        <f>(I13-H13)/I13</f>
        <v/>
      </c>
    </row>
    <row r="14" ht="15.75" customHeight="1" s="90">
      <c r="A14" s="44" t="inlineStr">
        <is>
          <t>ЛЕНТА СПБ</t>
        </is>
      </c>
      <c r="B14" s="64" t="n"/>
      <c r="C14" s="45" t="n">
        <v>579</v>
      </c>
      <c r="D14" s="46">
        <f>(C14-B14)/C14</f>
        <v/>
      </c>
      <c r="E14" s="42" t="n">
        <v>74</v>
      </c>
      <c r="F14" s="42" t="n">
        <v>74</v>
      </c>
      <c r="G14" s="47">
        <f>(F14-E14)/F14</f>
        <v/>
      </c>
      <c r="H14" s="42" t="n">
        <v>47126</v>
      </c>
      <c r="I14" s="42" t="n">
        <v>43283</v>
      </c>
      <c r="J14" s="47">
        <f>(I14-H14)/I14</f>
        <v/>
      </c>
    </row>
    <row r="15" ht="15.75" customHeight="1" s="90">
      <c r="A15" s="48" t="inlineStr">
        <is>
          <t>АРНЕСТ МСК</t>
        </is>
      </c>
      <c r="B15" s="64" t="n"/>
      <c r="C15" s="50" t="n">
        <v>3</v>
      </c>
      <c r="D15" s="46">
        <f>(C15-B15)/C15</f>
        <v/>
      </c>
      <c r="E15" s="42" t="n">
        <v>0</v>
      </c>
      <c r="F15" s="42" t="n">
        <v>145</v>
      </c>
      <c r="G15" s="43">
        <f>(F15-E15)/F15</f>
        <v/>
      </c>
      <c r="H15" s="42" t="n">
        <v>0</v>
      </c>
      <c r="I15" s="42" t="n">
        <v>1015</v>
      </c>
      <c r="J15" s="47">
        <f>(I15-H15)/I15</f>
        <v/>
      </c>
    </row>
    <row r="16" ht="15.75" customHeight="1" s="90">
      <c r="A16" s="48" t="inlineStr">
        <is>
          <t>ВВ МСК</t>
        </is>
      </c>
      <c r="B16" s="64" t="n"/>
      <c r="C16" s="50" t="n">
        <v>12</v>
      </c>
      <c r="D16" s="46">
        <f>(C16-B16)/C16</f>
        <v/>
      </c>
      <c r="E16" s="42" t="n">
        <v>115</v>
      </c>
      <c r="F16" s="42" t="n">
        <v>49</v>
      </c>
      <c r="G16" s="47">
        <f>(F16-E16)/F16</f>
        <v/>
      </c>
      <c r="H16" s="42" t="n">
        <v>3001</v>
      </c>
      <c r="I16" s="42" t="n">
        <v>1696</v>
      </c>
      <c r="J16" s="43">
        <f>(I16-H16)/I16</f>
        <v/>
      </c>
    </row>
    <row r="17" ht="15.75" customHeight="1" s="90">
      <c r="A17" s="48" t="inlineStr">
        <is>
          <t>МАГНИТ МСК</t>
        </is>
      </c>
      <c r="B17" s="64" t="n"/>
      <c r="C17" s="50" t="n">
        <v>11</v>
      </c>
      <c r="D17" s="46">
        <f>(C17-B17)/C17</f>
        <v/>
      </c>
      <c r="E17" s="42" t="n">
        <v>0</v>
      </c>
      <c r="F17" s="42" t="n">
        <v>48</v>
      </c>
      <c r="G17" s="43">
        <f>(F17-E17)/F17</f>
        <v/>
      </c>
      <c r="H17" s="42" t="n">
        <v>0</v>
      </c>
      <c r="I17" s="42" t="n">
        <v>144</v>
      </c>
      <c r="J17" s="32" t="inlineStr">
        <is>
          <t>-</t>
        </is>
      </c>
    </row>
    <row r="18" ht="15.75" customHeight="1" s="90">
      <c r="A18" s="48" t="inlineStr">
        <is>
          <t xml:space="preserve">ЛЕНТА МСК </t>
        </is>
      </c>
      <c r="B18" s="64" t="n"/>
      <c r="C18" s="50" t="n"/>
      <c r="D18" s="46">
        <f>(C18-B18)/C18</f>
        <v/>
      </c>
      <c r="E18" s="42" t="n"/>
      <c r="F18" s="42" t="n">
        <v>74</v>
      </c>
      <c r="G18" s="43">
        <f>(F18-E18)/F18</f>
        <v/>
      </c>
      <c r="H18" s="42" t="n"/>
      <c r="I18" s="42" t="n">
        <v>24464</v>
      </c>
      <c r="J18" s="47">
        <f>(I18-H18)/I18</f>
        <v/>
      </c>
    </row>
    <row r="19" ht="15.75" customHeight="1" s="90">
      <c r="A19" s="51" t="inlineStr">
        <is>
          <t>ПАЛЬМИРА ВАХТА</t>
        </is>
      </c>
      <c r="B19" s="64" t="n"/>
      <c r="C19" s="52" t="n">
        <v>176</v>
      </c>
      <c r="D19" s="46">
        <f>(C19-B19)/C19</f>
        <v/>
      </c>
      <c r="E19" s="42" t="n">
        <v>108</v>
      </c>
      <c r="F19" s="42" t="n">
        <v>102</v>
      </c>
      <c r="G19" s="47">
        <f>(F19-E19)/F19</f>
        <v/>
      </c>
      <c r="H19" s="42" t="n">
        <v>3785</v>
      </c>
      <c r="I19" s="42" t="n">
        <v>6763</v>
      </c>
      <c r="J19" s="43">
        <f>(I19-H19)/I19</f>
        <v/>
      </c>
    </row>
    <row r="20" ht="15.75" customHeight="1" s="90">
      <c r="A20" s="53" t="inlineStr">
        <is>
          <t>ТАБЫШ ЧЛБ</t>
        </is>
      </c>
      <c r="B20" s="67" t="n">
        <v>350</v>
      </c>
      <c r="C20" s="55" t="n">
        <v>373</v>
      </c>
      <c r="D20" s="46">
        <f>(C20-B20)/C20</f>
        <v/>
      </c>
      <c r="E20" s="42" t="n">
        <v>47</v>
      </c>
      <c r="F20" s="42" t="n">
        <v>41</v>
      </c>
      <c r="G20" s="32" t="inlineStr">
        <is>
          <t>-</t>
        </is>
      </c>
      <c r="H20" s="42" t="n">
        <v>9372</v>
      </c>
      <c r="I20" s="42" t="n">
        <v>15360</v>
      </c>
      <c r="J20" s="32" t="inlineStr">
        <is>
          <t>-</t>
        </is>
      </c>
    </row>
    <row r="21" ht="15.75" customHeight="1" s="90">
      <c r="A21" s="53" t="inlineStr">
        <is>
          <t>ЛЕНТА ЧЛБ</t>
        </is>
      </c>
      <c r="B21" s="67" t="n">
        <v>500</v>
      </c>
      <c r="C21" s="55" t="n">
        <v>305</v>
      </c>
      <c r="D21" s="46">
        <f>(C21-B21)/C21</f>
        <v/>
      </c>
      <c r="E21" s="42" t="n">
        <v>48</v>
      </c>
      <c r="F21" s="42" t="n">
        <v>51</v>
      </c>
      <c r="G21" s="43">
        <f>(F21-E21)/F21</f>
        <v/>
      </c>
      <c r="H21" s="42" t="n"/>
      <c r="I21" s="42" t="n">
        <v>33220</v>
      </c>
      <c r="J21" s="43">
        <f>(I21-H21)/I21</f>
        <v/>
      </c>
    </row>
    <row r="22" ht="15.75" customHeight="1" s="90">
      <c r="A22" s="68" t="n"/>
      <c r="B22" s="68" t="n"/>
      <c r="C22" s="68" t="n"/>
      <c r="D22" s="68" t="n"/>
      <c r="E22" s="68" t="n"/>
      <c r="F22" s="68" t="n"/>
      <c r="G22" s="68" t="n"/>
      <c r="H22" s="68" t="n"/>
      <c r="I22" s="68" t="n"/>
      <c r="J22" s="68" t="n"/>
    </row>
    <row r="23" ht="15.75" customHeight="1" s="90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</row>
    <row r="24" ht="15.75" customHeight="1" s="90"/>
    <row r="25" ht="15.75" customHeight="1" s="90"/>
    <row r="26" ht="15.75" customHeight="1" s="90"/>
    <row r="27" ht="15.75" customHeight="1" s="90"/>
    <row r="28" ht="15.75" customHeight="1" s="90"/>
    <row r="29" ht="15.75" customHeight="1" s="90"/>
    <row r="30" ht="15.75" customHeight="1" s="90"/>
    <row r="31" ht="15.75" customHeight="1" s="90"/>
    <row r="32" ht="15.75" customHeight="1" s="90"/>
    <row r="33" ht="15.75" customHeight="1" s="90"/>
    <row r="34" ht="15.75" customHeight="1" s="90"/>
    <row r="35" ht="15.75" customHeight="1" s="90"/>
    <row r="36" ht="15.75" customHeight="1" s="90"/>
    <row r="37" ht="15.75" customHeight="1" s="90"/>
    <row r="38" ht="15.75" customHeight="1" s="90"/>
    <row r="39" ht="15.75" customHeight="1" s="90"/>
    <row r="40" ht="15.75" customHeight="1" s="90"/>
    <row r="41" ht="15.75" customHeight="1" s="90"/>
    <row r="42" ht="15.75" customHeight="1" s="90"/>
    <row r="43" ht="15.75" customHeight="1" s="90"/>
    <row r="44" ht="15.75" customHeight="1" s="90"/>
    <row r="45" ht="15.75" customHeight="1" s="90"/>
    <row r="46" ht="15.75" customHeight="1" s="90"/>
    <row r="47" ht="15.75" customHeight="1" s="90"/>
    <row r="48" ht="15.75" customHeight="1" s="90"/>
    <row r="49" ht="15.75" customHeight="1" s="90"/>
    <row r="50" ht="15.75" customHeight="1" s="90"/>
    <row r="51" ht="15.75" customHeight="1" s="90"/>
    <row r="52" ht="15.75" customHeight="1" s="90"/>
    <row r="53" ht="15.75" customHeight="1" s="90"/>
    <row r="54" ht="15.75" customHeight="1" s="90"/>
    <row r="55" ht="15.75" customHeight="1" s="90"/>
    <row r="56" ht="15.75" customHeight="1" s="90"/>
    <row r="57" ht="15.75" customHeight="1" s="90"/>
    <row r="58" ht="15.75" customHeight="1" s="90"/>
    <row r="59" ht="15.75" customHeight="1" s="90"/>
    <row r="60" ht="15.75" customHeight="1" s="90"/>
    <row r="61" ht="15.75" customHeight="1" s="90"/>
    <row r="62" ht="15.75" customHeight="1" s="90"/>
    <row r="63" ht="15.75" customHeight="1" s="90"/>
    <row r="64" ht="15.75" customHeight="1" s="90"/>
    <row r="65" ht="15.75" customHeight="1" s="90"/>
    <row r="66" ht="15.75" customHeight="1" s="90"/>
    <row r="67" ht="15.75" customHeight="1" s="90"/>
    <row r="68" ht="15.75" customHeight="1" s="90"/>
    <row r="69" ht="15.75" customHeight="1" s="90"/>
    <row r="70" ht="15.75" customHeight="1" s="90"/>
    <row r="71" ht="15.75" customHeight="1" s="90"/>
    <row r="72" ht="15.75" customHeight="1" s="90"/>
    <row r="73" ht="15.75" customHeight="1" s="90"/>
    <row r="74" ht="15.75" customHeight="1" s="90"/>
    <row r="75" ht="15.75" customHeight="1" s="90"/>
    <row r="76" ht="15.75" customHeight="1" s="90"/>
    <row r="77" ht="15.75" customHeight="1" s="90"/>
    <row r="78" ht="15.75" customHeight="1" s="90"/>
    <row r="79" ht="15.75" customHeight="1" s="90"/>
    <row r="80" ht="15.75" customHeight="1" s="90"/>
    <row r="81" ht="15.75" customHeight="1" s="90"/>
    <row r="82" ht="15.75" customHeight="1" s="90"/>
    <row r="83" ht="15.75" customHeight="1" s="90"/>
    <row r="84" ht="15.75" customHeight="1" s="90"/>
    <row r="85" ht="15.75" customHeight="1" s="90"/>
    <row r="86" ht="15.75" customHeight="1" s="90"/>
    <row r="87" ht="15.75" customHeight="1" s="90"/>
    <row r="88" ht="15.75" customHeight="1" s="90"/>
    <row r="89" ht="15.75" customHeight="1" s="90"/>
    <row r="90" ht="15.75" customHeight="1" s="90"/>
    <row r="91" ht="15.75" customHeight="1" s="90"/>
    <row r="92" ht="15.75" customHeight="1" s="90"/>
    <row r="93" ht="15.75" customHeight="1" s="90"/>
    <row r="94" ht="15.75" customHeight="1" s="90"/>
    <row r="95" ht="15.75" customHeight="1" s="90"/>
    <row r="96" ht="15.75" customHeight="1" s="90"/>
    <row r="97" ht="15.75" customHeight="1" s="90"/>
    <row r="98" ht="15.75" customHeight="1" s="90"/>
    <row r="99" ht="15.75" customHeight="1" s="90"/>
    <row r="100" ht="15.75" customHeight="1" s="90"/>
    <row r="101" ht="15.75" customHeight="1" s="90"/>
    <row r="102" ht="15.75" customHeight="1" s="90"/>
    <row r="103" ht="15.75" customHeight="1" s="90"/>
    <row r="104" ht="15.75" customHeight="1" s="90"/>
    <row r="105" ht="15.75" customHeight="1" s="90"/>
    <row r="106" ht="15.75" customHeight="1" s="90"/>
    <row r="107" ht="15.75" customHeight="1" s="90"/>
    <row r="108" ht="15.75" customHeight="1" s="90"/>
    <row r="109" ht="15.75" customHeight="1" s="90"/>
    <row r="110" ht="15.75" customHeight="1" s="90"/>
    <row r="111" ht="15.75" customHeight="1" s="90"/>
    <row r="112" ht="15.75" customHeight="1" s="90"/>
    <row r="113" ht="15.75" customHeight="1" s="90"/>
    <row r="114" ht="15.75" customHeight="1" s="90"/>
    <row r="115" ht="15.75" customHeight="1" s="90"/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</sheetData>
  <mergeCells count="5">
    <mergeCell ref="E4:F4"/>
    <mergeCell ref="G4:G5"/>
    <mergeCell ref="J4:J5"/>
    <mergeCell ref="H4:I4"/>
    <mergeCell ref="B4:C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20"/>
  <sheetViews>
    <sheetView workbookViewId="0">
      <selection activeCell="A1" sqref="A1"/>
    </sheetView>
  </sheetViews>
  <sheetFormatPr baseColWidth="8" defaultColWidth="14.43" defaultRowHeight="15" customHeight="1"/>
  <cols>
    <col width="30.86" customWidth="1" style="90" min="1" max="1"/>
    <col width="27.43" customWidth="1" style="90" min="2" max="2"/>
    <col width="23.14" customWidth="1" style="90" min="3" max="3"/>
    <col width="21.86" customWidth="1" style="90" min="4" max="4"/>
    <col width="19.57" customWidth="1" style="90" min="5" max="5"/>
    <col width="18.86" customWidth="1" style="90" min="6" max="6"/>
    <col width="21.14" customWidth="1" style="90" min="7" max="7"/>
    <col width="20.29" customWidth="1" style="90" min="8" max="8"/>
    <col width="18.29" customWidth="1" style="90" min="9" max="9"/>
    <col width="20" customWidth="1" style="90" min="10" max="10"/>
  </cols>
  <sheetData>
    <row r="1">
      <c r="A1" s="1" t="inlineStr">
        <is>
          <t>Регион</t>
        </is>
      </c>
      <c r="B1" s="91" t="inlineStr">
        <is>
          <t>Лиды с 16 по 22</t>
        </is>
      </c>
      <c r="C1" s="92" t="n"/>
      <c r="D1" s="4" t="inlineStr">
        <is>
          <t>Динамика Лидов</t>
        </is>
      </c>
      <c r="E1" s="93" t="inlineStr">
        <is>
          <t>Стоимость 
лида</t>
        </is>
      </c>
      <c r="F1" s="92" t="n"/>
      <c r="G1" s="94" t="inlineStr">
        <is>
          <t>Динамика стоимости  (лиды)</t>
        </is>
      </c>
      <c r="H1" s="93" t="inlineStr">
        <is>
          <t xml:space="preserve"> Расход</t>
        </is>
      </c>
      <c r="I1" s="92" t="n"/>
      <c r="J1" s="94" t="inlineStr">
        <is>
          <t>Динамика стоимости  (Затрат)</t>
        </is>
      </c>
    </row>
    <row r="2">
      <c r="A2" s="7" t="n"/>
      <c r="B2" s="10" t="inlineStr">
        <is>
          <t xml:space="preserve">План </t>
        </is>
      </c>
      <c r="C2" s="10" t="inlineStr">
        <is>
          <t>Факт</t>
        </is>
      </c>
      <c r="D2" s="9" t="n"/>
      <c r="E2" s="10" t="inlineStr">
        <is>
          <t>с 09 по 15</t>
        </is>
      </c>
      <c r="F2" s="10" t="inlineStr">
        <is>
          <t>с 16 по 22</t>
        </is>
      </c>
      <c r="G2" s="95" t="n"/>
      <c r="H2" s="10" t="inlineStr">
        <is>
          <t>с 09 по 15</t>
        </is>
      </c>
      <c r="I2" s="10" t="inlineStr">
        <is>
          <t>с 16 по 22</t>
        </is>
      </c>
      <c r="J2" s="95" t="n"/>
    </row>
    <row r="3">
      <c r="A3" s="12" t="inlineStr">
        <is>
          <t>МАГНИТ КРД</t>
        </is>
      </c>
      <c r="B3" s="70" t="n">
        <v>425</v>
      </c>
      <c r="C3" s="14" t="n">
        <v>402</v>
      </c>
      <c r="D3" s="15">
        <f>(C3-B3)/C3</f>
        <v/>
      </c>
      <c r="E3" s="20" t="n">
        <v>46</v>
      </c>
      <c r="F3" s="20" t="n">
        <v>54</v>
      </c>
      <c r="G3" s="17">
        <f>(F3-E3)/F3</f>
        <v/>
      </c>
      <c r="H3" s="24" t="n">
        <v>19100</v>
      </c>
      <c r="I3" s="24" t="n">
        <v>21916</v>
      </c>
      <c r="J3" s="19">
        <f>(I3-H3)/I3</f>
        <v/>
      </c>
    </row>
    <row r="4">
      <c r="A4" s="12" t="inlineStr">
        <is>
          <t>ЛЕНТА КРД</t>
        </is>
      </c>
      <c r="B4" s="70" t="n">
        <v>900</v>
      </c>
      <c r="C4" s="14" t="n">
        <v>872</v>
      </c>
      <c r="D4" s="19">
        <f>(C4-B4)/C4</f>
        <v/>
      </c>
      <c r="E4" s="20" t="n">
        <v>47</v>
      </c>
      <c r="F4" s="20" t="n">
        <v>50</v>
      </c>
      <c r="G4" s="19">
        <f>(F4-E4)/F4</f>
        <v/>
      </c>
      <c r="H4" s="24" t="n">
        <v>35763</v>
      </c>
      <c r="I4" s="24" t="n">
        <v>38142</v>
      </c>
      <c r="J4" s="15">
        <f>(I4-H4)/I4</f>
        <v/>
      </c>
    </row>
    <row r="5">
      <c r="A5" s="12" t="inlineStr">
        <is>
          <t>САДЫ КРД</t>
        </is>
      </c>
      <c r="B5" s="70" t="n">
        <v>250</v>
      </c>
      <c r="C5" s="14" t="n">
        <v>292</v>
      </c>
      <c r="D5" s="15">
        <f>(C5-B5)/C5</f>
        <v/>
      </c>
      <c r="E5" s="20" t="n">
        <v>60</v>
      </c>
      <c r="F5" s="20" t="n">
        <v>64</v>
      </c>
      <c r="G5" s="15">
        <f>(F5-E5)/F5</f>
        <v/>
      </c>
      <c r="H5" s="24" t="n">
        <v>8741</v>
      </c>
      <c r="I5" s="24" t="n">
        <v>18868</v>
      </c>
      <c r="J5" s="19">
        <f>(I5-H5)/I5</f>
        <v/>
      </c>
    </row>
    <row r="6">
      <c r="A6" s="21" t="inlineStr">
        <is>
          <t>ПЯТЕРОЧКА КЗН</t>
        </is>
      </c>
      <c r="B6" s="65" t="n">
        <v>75</v>
      </c>
      <c r="C6" s="29" t="n">
        <v>44</v>
      </c>
      <c r="D6" s="15">
        <f>(C6-B6)/C6</f>
        <v/>
      </c>
      <c r="E6" s="20" t="n">
        <v>74</v>
      </c>
      <c r="F6" s="20" t="n">
        <v>81</v>
      </c>
      <c r="G6" s="17">
        <f>(F6-E6)/F6</f>
        <v/>
      </c>
      <c r="H6" s="24" t="n">
        <v>936</v>
      </c>
      <c r="I6" s="24" t="n">
        <v>3604</v>
      </c>
      <c r="J6" s="19">
        <f>(I6-H6)/I6</f>
        <v/>
      </c>
    </row>
    <row r="7">
      <c r="A7" s="21" t="inlineStr">
        <is>
          <t>ТАБЫШ КЗН</t>
        </is>
      </c>
      <c r="B7" s="65" t="n">
        <v>160</v>
      </c>
      <c r="C7" s="29" t="n">
        <v>103</v>
      </c>
      <c r="D7" s="19">
        <f>(C7-B7)/C7</f>
        <v/>
      </c>
      <c r="E7" s="57" t="n">
        <v>53</v>
      </c>
      <c r="F7" s="57" t="n">
        <v>50</v>
      </c>
      <c r="G7" s="26">
        <f>(F7-E7)/F7</f>
        <v/>
      </c>
      <c r="H7" s="58" t="n">
        <v>675</v>
      </c>
      <c r="I7" s="58" t="n">
        <v>5179</v>
      </c>
      <c r="J7" s="28">
        <f>(I7-H7)/I7</f>
        <v/>
      </c>
    </row>
    <row r="8">
      <c r="A8" s="21" t="inlineStr">
        <is>
          <t>КБ САМАРА( кабинет кзн)</t>
        </is>
      </c>
      <c r="B8" s="65" t="n">
        <v>210</v>
      </c>
      <c r="C8" s="29" t="n">
        <v>0</v>
      </c>
      <c r="D8" s="19">
        <f>(C8-B8)/C8</f>
        <v/>
      </c>
      <c r="E8" s="31" t="n">
        <v>40</v>
      </c>
      <c r="F8" s="31" t="n">
        <v>0</v>
      </c>
      <c r="G8" s="32" t="inlineStr">
        <is>
          <t>-</t>
        </is>
      </c>
      <c r="H8" s="24" t="n">
        <v>12288</v>
      </c>
      <c r="I8" s="24" t="n">
        <v>0</v>
      </c>
      <c r="J8" s="32" t="inlineStr">
        <is>
          <t>-</t>
        </is>
      </c>
    </row>
    <row r="9">
      <c r="A9" s="33" t="inlineStr">
        <is>
          <t>МАГНИТ КЗН</t>
        </is>
      </c>
      <c r="B9" s="64" t="inlineStr">
        <is>
          <t>нету потребности</t>
        </is>
      </c>
      <c r="C9" s="35" t="n">
        <v>0</v>
      </c>
      <c r="D9" s="60" t="inlineStr">
        <is>
          <t>-</t>
        </is>
      </c>
      <c r="E9" s="37" t="n">
        <v>0</v>
      </c>
      <c r="F9" s="37" t="n">
        <v>0</v>
      </c>
      <c r="G9" s="32" t="inlineStr">
        <is>
          <t>-</t>
        </is>
      </c>
      <c r="H9" s="39" t="n">
        <v>0</v>
      </c>
      <c r="I9" s="39" t="n">
        <v>0</v>
      </c>
      <c r="J9" s="32" t="inlineStr">
        <is>
          <t>-</t>
        </is>
      </c>
    </row>
    <row r="10">
      <c r="A10" s="21" t="inlineStr">
        <is>
          <t>ЛЕНТА КЗН</t>
        </is>
      </c>
      <c r="B10" s="65" t="n">
        <v>425</v>
      </c>
      <c r="C10" s="29" t="n">
        <v>429</v>
      </c>
      <c r="D10" s="40">
        <f>(C10-B10)/C10</f>
        <v/>
      </c>
      <c r="E10" s="42" t="n">
        <v>57</v>
      </c>
      <c r="F10" s="42" t="n">
        <v>79</v>
      </c>
      <c r="G10" s="43">
        <f>(F10-E10)/F10</f>
        <v/>
      </c>
      <c r="H10" s="42" t="n">
        <v>32945</v>
      </c>
      <c r="I10" s="42" t="n">
        <v>33843</v>
      </c>
      <c r="J10" s="43">
        <f>(I10-H10)/I10</f>
        <v/>
      </c>
    </row>
    <row r="11">
      <c r="A11" s="44" t="inlineStr">
        <is>
          <t>ЛЕНТА СПБ</t>
        </is>
      </c>
      <c r="B11" s="64" t="n"/>
      <c r="C11" s="45" t="n">
        <v>579</v>
      </c>
      <c r="D11" s="46">
        <f>(C11-B11)/C11</f>
        <v/>
      </c>
      <c r="E11" s="42" t="n">
        <v>74</v>
      </c>
      <c r="F11" s="42" t="n">
        <v>72</v>
      </c>
      <c r="G11" s="47">
        <f>(F11-E11)/F11</f>
        <v/>
      </c>
      <c r="H11" s="42" t="n">
        <v>43283</v>
      </c>
      <c r="I11" s="42" t="n">
        <v>25694</v>
      </c>
      <c r="J11" s="47">
        <f>(I11-H11)/I11</f>
        <v/>
      </c>
    </row>
    <row r="12">
      <c r="A12" s="48" t="inlineStr">
        <is>
          <t>АРНЕСТ МСК</t>
        </is>
      </c>
      <c r="B12" s="64" t="n"/>
      <c r="C12" s="50" t="n">
        <v>15</v>
      </c>
      <c r="D12" s="46">
        <f>(C12-B12)/C12</f>
        <v/>
      </c>
      <c r="E12" s="42" t="n">
        <v>145</v>
      </c>
      <c r="F12" s="42" t="n">
        <v>221</v>
      </c>
      <c r="G12" s="43">
        <f>(F12-E12)/F12</f>
        <v/>
      </c>
      <c r="H12" s="42" t="n">
        <v>1015</v>
      </c>
      <c r="I12" s="42" t="n">
        <v>663</v>
      </c>
      <c r="J12" s="47">
        <f>(I12-H12)/I12</f>
        <v/>
      </c>
    </row>
    <row r="13">
      <c r="A13" s="48" t="inlineStr">
        <is>
          <t>ВВ МСК</t>
        </is>
      </c>
      <c r="B13" s="64" t="n"/>
      <c r="C13" s="50" t="n">
        <v>68</v>
      </c>
      <c r="D13" s="46">
        <f>(C13-B13)/C13</f>
        <v/>
      </c>
      <c r="E13" s="42" t="n">
        <v>49</v>
      </c>
      <c r="F13" s="42" t="n">
        <v>66</v>
      </c>
      <c r="G13" s="47">
        <f>(F13-E13)/F13</f>
        <v/>
      </c>
      <c r="H13" s="42" t="n">
        <v>1696</v>
      </c>
      <c r="I13" s="42" t="n">
        <v>4490</v>
      </c>
      <c r="J13" s="43">
        <f>(I13-H13)/I13</f>
        <v/>
      </c>
    </row>
    <row r="14">
      <c r="A14" s="48" t="inlineStr">
        <is>
          <t>МАГНИТ МСК</t>
        </is>
      </c>
      <c r="B14" s="64" t="n"/>
      <c r="C14" s="50" t="n">
        <v>0</v>
      </c>
      <c r="D14" s="46">
        <f>(C14-B14)/C14</f>
        <v/>
      </c>
      <c r="E14" s="42" t="n">
        <v>48</v>
      </c>
      <c r="F14" s="42" t="n">
        <v>0</v>
      </c>
      <c r="G14" s="43">
        <f>(F14-E14)/F14</f>
        <v/>
      </c>
      <c r="H14" s="42" t="n">
        <v>144</v>
      </c>
      <c r="I14" s="42" t="n">
        <v>0</v>
      </c>
      <c r="J14" s="32" t="inlineStr">
        <is>
          <t>-</t>
        </is>
      </c>
    </row>
    <row r="15">
      <c r="A15" s="48" t="inlineStr">
        <is>
          <t xml:space="preserve">ЛЕНТА МСК </t>
        </is>
      </c>
      <c r="B15" s="64" t="n"/>
      <c r="C15" s="50" t="n">
        <v>170</v>
      </c>
      <c r="D15" s="46">
        <f>(C15-B15)/C15</f>
        <v/>
      </c>
      <c r="E15" s="42" t="n">
        <v>74</v>
      </c>
      <c r="F15" s="42" t="n">
        <v>74</v>
      </c>
      <c r="G15" s="43">
        <f>(F15-E15)/F15</f>
        <v/>
      </c>
      <c r="H15" s="42" t="n">
        <v>24464</v>
      </c>
      <c r="I15" s="42" t="n">
        <v>22462</v>
      </c>
      <c r="J15" s="47">
        <f>(I15-H15)/I15</f>
        <v/>
      </c>
    </row>
    <row r="16">
      <c r="A16" s="51" t="inlineStr">
        <is>
          <t>ПАЛЬМИРА ВАХТА</t>
        </is>
      </c>
      <c r="B16" s="64" t="n"/>
      <c r="C16" s="52" t="n">
        <v>139</v>
      </c>
      <c r="D16" s="46">
        <f>(C16-B16)/C16</f>
        <v/>
      </c>
      <c r="E16" s="42" t="n">
        <v>102</v>
      </c>
      <c r="F16" s="42" t="n">
        <v>97</v>
      </c>
      <c r="G16" s="47">
        <f>(F16-E16)/F16</f>
        <v/>
      </c>
      <c r="H16" s="42" t="n">
        <v>6763</v>
      </c>
      <c r="I16" s="42" t="n">
        <v>4883</v>
      </c>
      <c r="J16" s="43">
        <f>(I16-H16)/I16</f>
        <v/>
      </c>
    </row>
    <row r="17">
      <c r="A17" s="53" t="inlineStr">
        <is>
          <t>ТАБЫШ ЧЛБ</t>
        </is>
      </c>
      <c r="B17" s="67" t="n">
        <v>350</v>
      </c>
      <c r="C17" s="55" t="n">
        <v>333</v>
      </c>
      <c r="D17" s="46">
        <f>(C17-B17)/C17</f>
        <v/>
      </c>
      <c r="E17" s="42" t="n">
        <v>41</v>
      </c>
      <c r="F17" s="42" t="n">
        <v>34</v>
      </c>
      <c r="G17" s="32" t="inlineStr">
        <is>
          <t>-</t>
        </is>
      </c>
      <c r="H17" s="42" t="n">
        <v>15360</v>
      </c>
      <c r="I17" s="42" t="n">
        <v>11582</v>
      </c>
      <c r="J17" s="32" t="inlineStr">
        <is>
          <t>-</t>
        </is>
      </c>
    </row>
    <row r="18">
      <c r="A18" s="53" t="inlineStr">
        <is>
          <t>ЛЕНТА ЧЛБ</t>
        </is>
      </c>
      <c r="B18" s="67" t="n">
        <v>500</v>
      </c>
      <c r="C18" s="55" t="n">
        <v>608</v>
      </c>
      <c r="D18" s="46">
        <f>(C18-B18)/C18</f>
        <v/>
      </c>
      <c r="E18" s="42" t="n">
        <v>51</v>
      </c>
      <c r="F18" s="42" t="n">
        <v>48</v>
      </c>
      <c r="G18" s="43">
        <f>(F18-E18)/F18</f>
        <v/>
      </c>
      <c r="H18" s="42" t="n">
        <v>33220</v>
      </c>
      <c r="I18" s="42" t="n">
        <v>40336</v>
      </c>
      <c r="J18" s="43">
        <f>(I18-H18)/I18</f>
        <v/>
      </c>
    </row>
    <row r="19">
      <c r="A19" s="68" t="n"/>
      <c r="B19" s="68" t="n"/>
      <c r="C19" s="68" t="n"/>
      <c r="D19" s="68" t="n"/>
      <c r="E19" s="68" t="n"/>
      <c r="F19" s="68" t="n"/>
      <c r="G19" s="68" t="n"/>
      <c r="H19" s="68" t="n"/>
      <c r="I19" s="68" t="n"/>
      <c r="J19" s="68" t="n"/>
    </row>
    <row r="20">
      <c r="A20" s="68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</row>
  </sheetData>
  <mergeCells count="5">
    <mergeCell ref="E1:F1"/>
    <mergeCell ref="H1:I1"/>
    <mergeCell ref="G1:G2"/>
    <mergeCell ref="B1:C1"/>
    <mergeCell ref="J1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0"/>
  <sheetViews>
    <sheetView workbookViewId="0">
      <selection activeCell="A1" sqref="A1"/>
    </sheetView>
  </sheetViews>
  <sheetFormatPr baseColWidth="8" defaultColWidth="14.43" defaultRowHeight="15" customHeight="1"/>
  <cols>
    <col width="25.57" customWidth="1" style="90" min="1" max="1"/>
    <col width="26" customWidth="1" style="90" min="2" max="2"/>
    <col width="30.86" customWidth="1" style="90" min="3" max="3"/>
    <col width="18.71" customWidth="1" style="90" min="4" max="4"/>
    <col width="18.57" customWidth="1" style="90" min="5" max="5"/>
    <col width="16.71" customWidth="1" style="90" min="6" max="8"/>
    <col width="17.43" customWidth="1" style="90" min="9" max="9"/>
  </cols>
  <sheetData>
    <row r="1">
      <c r="A1" s="1" t="inlineStr">
        <is>
          <t>Регион</t>
        </is>
      </c>
      <c r="B1" s="91" t="inlineStr">
        <is>
          <t>Лиды с 23 по 29</t>
        </is>
      </c>
      <c r="C1" s="92" t="n"/>
      <c r="D1" s="4" t="inlineStr">
        <is>
          <t>Динамика Лидов</t>
        </is>
      </c>
      <c r="E1" s="93" t="inlineStr">
        <is>
          <t>Стоимость 
лида</t>
        </is>
      </c>
      <c r="F1" s="92" t="n"/>
      <c r="G1" s="94" t="inlineStr">
        <is>
          <t>Динамика стоимости  (лиды)</t>
        </is>
      </c>
      <c r="H1" s="93" t="inlineStr">
        <is>
          <t xml:space="preserve"> Расход</t>
        </is>
      </c>
      <c r="I1" s="92" t="n"/>
      <c r="J1" s="94" t="inlineStr">
        <is>
          <t>Динамика стоимости  (Затрат)</t>
        </is>
      </c>
    </row>
    <row r="2">
      <c r="A2" s="7" t="n"/>
      <c r="B2" s="10" t="inlineStr">
        <is>
          <t xml:space="preserve">План </t>
        </is>
      </c>
      <c r="C2" s="10" t="inlineStr">
        <is>
          <t>Факт</t>
        </is>
      </c>
      <c r="D2" s="9" t="n"/>
      <c r="E2" s="10" t="inlineStr">
        <is>
          <t>с 16 по 22</t>
        </is>
      </c>
      <c r="F2" s="10" t="inlineStr">
        <is>
          <t>с 23 по 29</t>
        </is>
      </c>
      <c r="G2" s="95" t="n"/>
      <c r="H2" s="10" t="inlineStr">
        <is>
          <t>с 16 по 22</t>
        </is>
      </c>
      <c r="I2" s="10" t="inlineStr">
        <is>
          <t>с 23 по 29</t>
        </is>
      </c>
      <c r="J2" s="95" t="n"/>
    </row>
    <row r="3">
      <c r="A3" s="12" t="inlineStr">
        <is>
          <t>МАГНИТ КРД</t>
        </is>
      </c>
      <c r="B3" s="70" t="n">
        <v>425</v>
      </c>
      <c r="C3" s="14" t="n">
        <v>273</v>
      </c>
      <c r="D3" s="15">
        <f>(C3-B3)/C3</f>
        <v/>
      </c>
      <c r="E3" s="20" t="n">
        <v>54</v>
      </c>
      <c r="F3" s="20" t="n">
        <v>41</v>
      </c>
      <c r="G3" s="17">
        <f>(F3-E3)/F3</f>
        <v/>
      </c>
      <c r="H3" s="24" t="n">
        <v>21916</v>
      </c>
      <c r="I3" s="24" t="n">
        <v>11191</v>
      </c>
      <c r="J3" s="19">
        <f>(I3-H3)/I3</f>
        <v/>
      </c>
    </row>
    <row r="4">
      <c r="A4" s="12" t="inlineStr">
        <is>
          <t>ЛЕНТА КРД</t>
        </is>
      </c>
      <c r="B4" s="70" t="n">
        <v>900</v>
      </c>
      <c r="C4" s="14" t="n">
        <v>1162</v>
      </c>
      <c r="D4" s="19">
        <f>(C4-B4)/C4</f>
        <v/>
      </c>
      <c r="E4" s="20" t="n">
        <v>50</v>
      </c>
      <c r="F4" s="20" t="n">
        <v>46</v>
      </c>
      <c r="G4" s="19">
        <f>(F4-E4)/F4</f>
        <v/>
      </c>
      <c r="H4" s="24" t="n">
        <v>38142</v>
      </c>
      <c r="I4" s="24" t="n">
        <v>55731</v>
      </c>
      <c r="J4" s="15">
        <f>(I4-H4)/I4</f>
        <v/>
      </c>
    </row>
    <row r="5">
      <c r="A5" s="12" t="inlineStr">
        <is>
          <t>САДЫ КРД</t>
        </is>
      </c>
      <c r="B5" s="70" t="n">
        <v>250</v>
      </c>
      <c r="C5" s="14" t="n">
        <v>113</v>
      </c>
      <c r="D5" s="15">
        <f>(C5-B5)/C5</f>
        <v/>
      </c>
      <c r="E5" s="20" t="n">
        <v>64</v>
      </c>
      <c r="F5" s="20" t="n">
        <v>104</v>
      </c>
      <c r="G5" s="15">
        <f>(F5-E5)/F5</f>
        <v/>
      </c>
      <c r="H5" s="24" t="n">
        <v>18868</v>
      </c>
      <c r="I5" s="24" t="n">
        <v>4399</v>
      </c>
      <c r="J5" s="19">
        <f>(I5-H5)/I5</f>
        <v/>
      </c>
    </row>
    <row r="6">
      <c r="A6" s="21" t="inlineStr">
        <is>
          <t>ПЯТЕРОЧКА КЗН</t>
        </is>
      </c>
      <c r="B6" s="65" t="n">
        <v>75</v>
      </c>
      <c r="C6" s="29" t="n">
        <v>23</v>
      </c>
      <c r="D6" s="15">
        <f>(C6-B6)/C6</f>
        <v/>
      </c>
      <c r="E6" s="20" t="n">
        <v>81</v>
      </c>
      <c r="F6" s="20" t="n">
        <v>79</v>
      </c>
      <c r="G6" s="17">
        <f>(F6-E6)/F6</f>
        <v/>
      </c>
      <c r="H6" s="24" t="n">
        <v>3604</v>
      </c>
      <c r="I6" s="24" t="n">
        <v>1508</v>
      </c>
      <c r="J6" s="19">
        <f>(I6-H6)/I6</f>
        <v/>
      </c>
    </row>
    <row r="7">
      <c r="A7" s="21" t="inlineStr">
        <is>
          <t>ТАБЫШ КЗН</t>
        </is>
      </c>
      <c r="B7" s="65" t="n">
        <v>160</v>
      </c>
      <c r="C7" s="29" t="n">
        <v>48</v>
      </c>
      <c r="D7" s="15">
        <f>(C7-B7)/C7</f>
        <v/>
      </c>
      <c r="E7" s="57" t="n">
        <v>50</v>
      </c>
      <c r="F7" s="57" t="n">
        <v>52</v>
      </c>
      <c r="G7" s="26">
        <f>(F7-E7)/F7</f>
        <v/>
      </c>
      <c r="H7" s="58" t="n">
        <v>5179</v>
      </c>
      <c r="I7" s="58" t="n">
        <v>2513</v>
      </c>
      <c r="J7" s="28">
        <f>(I7-H7)/I7</f>
        <v/>
      </c>
    </row>
    <row r="8">
      <c r="A8" s="21" t="inlineStr">
        <is>
          <t>КБ САМАРА( кабинет кзн)</t>
        </is>
      </c>
      <c r="B8" s="65" t="n">
        <v>210</v>
      </c>
      <c r="C8" s="29" t="n">
        <v>211</v>
      </c>
      <c r="D8" s="19">
        <f>(C8-B8)/C8</f>
        <v/>
      </c>
      <c r="E8" s="31" t="n">
        <v>0</v>
      </c>
      <c r="F8" s="31" t="n">
        <v>46</v>
      </c>
      <c r="G8" s="26">
        <f>(F8-E8)/F8</f>
        <v/>
      </c>
      <c r="H8" s="24" t="n">
        <v>0</v>
      </c>
      <c r="I8" s="24" t="n">
        <v>9856</v>
      </c>
      <c r="J8" s="32" t="inlineStr">
        <is>
          <t>-</t>
        </is>
      </c>
    </row>
    <row r="9">
      <c r="A9" s="33" t="inlineStr">
        <is>
          <t>МАГНИТ КЗН</t>
        </is>
      </c>
      <c r="B9" s="64" t="inlineStr">
        <is>
          <t>нету потребности</t>
        </is>
      </c>
      <c r="C9" s="35" t="n">
        <v>0</v>
      </c>
      <c r="D9" s="60" t="inlineStr">
        <is>
          <t>-</t>
        </is>
      </c>
      <c r="E9" s="37" t="n">
        <v>0</v>
      </c>
      <c r="F9" s="37" t="n"/>
      <c r="G9" s="60" t="inlineStr">
        <is>
          <t>-</t>
        </is>
      </c>
      <c r="H9" s="39" t="n">
        <v>0</v>
      </c>
      <c r="I9" s="39" t="n">
        <v>0</v>
      </c>
      <c r="J9" s="32" t="inlineStr">
        <is>
          <t>-</t>
        </is>
      </c>
    </row>
    <row r="10">
      <c r="A10" s="21" t="inlineStr">
        <is>
          <t>ЛЕНТА КЗН</t>
        </is>
      </c>
      <c r="B10" s="65" t="n">
        <v>425</v>
      </c>
      <c r="C10" s="29" t="n">
        <v>349</v>
      </c>
      <c r="D10" s="40">
        <f>(C10-B10)/C10</f>
        <v/>
      </c>
      <c r="E10" s="42" t="n">
        <v>79</v>
      </c>
      <c r="F10" s="42" t="n">
        <v>79</v>
      </c>
      <c r="G10" s="61">
        <f>(F10-E10)/F10</f>
        <v/>
      </c>
      <c r="H10" s="42" t="n">
        <v>33843</v>
      </c>
      <c r="I10" s="42" t="n">
        <v>36283</v>
      </c>
      <c r="J10" s="43">
        <f>(I10-H10)/I10</f>
        <v/>
      </c>
    </row>
    <row r="11">
      <c r="A11" s="44" t="inlineStr">
        <is>
          <t>ЛЕНТА СПБ</t>
        </is>
      </c>
      <c r="B11" s="63" t="n"/>
      <c r="C11" s="45" t="n">
        <v>330</v>
      </c>
      <c r="D11" s="46">
        <f>(C11-B11)/C11</f>
        <v/>
      </c>
      <c r="E11" s="42" t="n">
        <v>72</v>
      </c>
      <c r="F11" s="42" t="n">
        <v>109</v>
      </c>
      <c r="G11" s="47">
        <f>(F11-E11)/F11</f>
        <v/>
      </c>
      <c r="H11" s="42" t="n">
        <v>25694</v>
      </c>
      <c r="I11" s="42" t="n">
        <v>36062</v>
      </c>
      <c r="J11" s="47">
        <f>(I11-H11)/I11</f>
        <v/>
      </c>
    </row>
    <row r="12">
      <c r="A12" s="48" t="inlineStr">
        <is>
          <t>АРНЕСТ МСК</t>
        </is>
      </c>
      <c r="B12" s="63" t="inlineStr">
        <is>
          <t>нету потребности</t>
        </is>
      </c>
      <c r="C12" s="50" t="n">
        <v>2</v>
      </c>
      <c r="D12" s="60" t="inlineStr">
        <is>
          <t>-</t>
        </is>
      </c>
      <c r="E12" s="42" t="n">
        <v>221</v>
      </c>
      <c r="F12" s="42" t="n">
        <v>44</v>
      </c>
      <c r="G12" s="43">
        <f>(F12-E12)/F12</f>
        <v/>
      </c>
      <c r="H12" s="42" t="n">
        <v>663</v>
      </c>
      <c r="I12" s="42" t="n">
        <v>88</v>
      </c>
      <c r="J12" s="47">
        <f>(I12-H12)/I12</f>
        <v/>
      </c>
    </row>
    <row r="13">
      <c r="A13" s="48" t="inlineStr">
        <is>
          <t>ВВ МСК</t>
        </is>
      </c>
      <c r="B13" s="63" t="n"/>
      <c r="C13" s="50" t="n">
        <v>60</v>
      </c>
      <c r="D13" s="46">
        <f>(C13-B13)/C13</f>
        <v/>
      </c>
      <c r="E13" s="42" t="n">
        <v>66</v>
      </c>
      <c r="F13" s="42" t="n">
        <v>63</v>
      </c>
      <c r="G13" s="47">
        <f>(F13-E13)/F13</f>
        <v/>
      </c>
      <c r="H13" s="42" t="n">
        <v>4490</v>
      </c>
      <c r="I13" s="42" t="n">
        <v>3778</v>
      </c>
      <c r="J13" s="43">
        <f>(I13-H13)/I13</f>
        <v/>
      </c>
    </row>
    <row r="14">
      <c r="A14" s="48" t="inlineStr">
        <is>
          <t>МАГНИТ МСК</t>
        </is>
      </c>
      <c r="B14" s="63" t="inlineStr">
        <is>
          <t>нету потребности</t>
        </is>
      </c>
      <c r="C14" s="50" t="n">
        <v>0</v>
      </c>
      <c r="D14" s="60" t="inlineStr">
        <is>
          <t>-</t>
        </is>
      </c>
      <c r="E14" s="42" t="n">
        <v>0</v>
      </c>
      <c r="F14" s="42" t="n">
        <v>0</v>
      </c>
      <c r="G14" s="60" t="inlineStr">
        <is>
          <t>-</t>
        </is>
      </c>
      <c r="H14" s="42" t="n">
        <v>0</v>
      </c>
      <c r="I14" s="42" t="n">
        <v>0</v>
      </c>
      <c r="J14" s="32" t="inlineStr">
        <is>
          <t>-</t>
        </is>
      </c>
    </row>
    <row r="15">
      <c r="A15" s="48" t="inlineStr">
        <is>
          <t xml:space="preserve">ЛЕНТА МСК </t>
        </is>
      </c>
      <c r="B15" s="63" t="n"/>
      <c r="C15" s="50" t="n">
        <v>160</v>
      </c>
      <c r="D15" s="46">
        <f>(C15-B15)/C15</f>
        <v/>
      </c>
      <c r="E15" s="42" t="n">
        <v>74</v>
      </c>
      <c r="F15" s="42" t="n">
        <v>64</v>
      </c>
      <c r="G15" s="43">
        <f>(F15-E15)/F15</f>
        <v/>
      </c>
      <c r="H15" s="42" t="n">
        <v>22462</v>
      </c>
      <c r="I15" s="42" t="n">
        <v>26809</v>
      </c>
      <c r="J15" s="47">
        <f>(I15-H15)/I15</f>
        <v/>
      </c>
    </row>
    <row r="16">
      <c r="A16" s="51" t="inlineStr">
        <is>
          <t>ПАЛЬМИРА ВАХТА</t>
        </is>
      </c>
      <c r="B16" s="64" t="inlineStr">
        <is>
          <t xml:space="preserve">нету потребности </t>
        </is>
      </c>
      <c r="C16" s="52" t="n">
        <v>8</v>
      </c>
      <c r="D16" s="60" t="inlineStr">
        <is>
          <t>-</t>
        </is>
      </c>
      <c r="E16" s="42" t="n">
        <v>97</v>
      </c>
      <c r="F16" s="42" t="n">
        <v>285</v>
      </c>
      <c r="G16" s="47">
        <f>(F16-E16)/F16</f>
        <v/>
      </c>
      <c r="H16" s="42" t="n">
        <v>4883</v>
      </c>
      <c r="I16" s="42" t="n">
        <v>1143</v>
      </c>
      <c r="J16" s="43">
        <f>(I16-H16)/I16</f>
        <v/>
      </c>
    </row>
    <row r="17">
      <c r="A17" s="53" t="inlineStr">
        <is>
          <t>ТАБЫШ ЧЛБ</t>
        </is>
      </c>
      <c r="B17" s="67" t="n">
        <v>350</v>
      </c>
      <c r="C17" s="55" t="n">
        <v>188</v>
      </c>
      <c r="D17" s="40">
        <f>(C17-B17)/C17</f>
        <v/>
      </c>
      <c r="E17" s="42" t="n">
        <v>34</v>
      </c>
      <c r="F17" s="42" t="n">
        <v>27</v>
      </c>
      <c r="G17" s="32" t="inlineStr">
        <is>
          <t>-</t>
        </is>
      </c>
      <c r="H17" s="42" t="n">
        <v>11582</v>
      </c>
      <c r="I17" s="42" t="n">
        <v>5192</v>
      </c>
      <c r="J17" s="32" t="inlineStr">
        <is>
          <t>-</t>
        </is>
      </c>
    </row>
    <row r="18">
      <c r="A18" s="53" t="inlineStr">
        <is>
          <t>ЛЕНТА ЧЛБ</t>
        </is>
      </c>
      <c r="B18" s="67" t="n">
        <v>500</v>
      </c>
      <c r="C18" s="55" t="n">
        <v>634</v>
      </c>
      <c r="D18" s="46">
        <f>(C18-B18)/C18</f>
        <v/>
      </c>
      <c r="E18" s="42" t="n">
        <v>48</v>
      </c>
      <c r="F18" s="42" t="n">
        <v>43</v>
      </c>
      <c r="G18" s="43">
        <f>(F18-E18)/F18</f>
        <v/>
      </c>
      <c r="H18" s="42" t="n">
        <v>40336</v>
      </c>
      <c r="I18" s="42" t="n">
        <v>30669</v>
      </c>
      <c r="J18" s="43">
        <f>(I18-H18)/I18</f>
        <v/>
      </c>
    </row>
    <row r="19">
      <c r="A19" s="68" t="n"/>
      <c r="B19" s="68" t="n"/>
      <c r="C19" s="68" t="n"/>
      <c r="D19" s="68" t="n"/>
      <c r="E19" s="68" t="n"/>
      <c r="F19" s="68" t="n"/>
      <c r="G19" s="68" t="n"/>
      <c r="H19" s="68" t="n"/>
      <c r="I19" s="68" t="n"/>
      <c r="J19" s="68" t="n"/>
    </row>
    <row r="20">
      <c r="A20" s="68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</row>
  </sheetData>
  <mergeCells count="5">
    <mergeCell ref="E1:F1"/>
    <mergeCell ref="H1:I1"/>
    <mergeCell ref="G1:G2"/>
    <mergeCell ref="B1:C1"/>
    <mergeCell ref="J1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20"/>
  <sheetViews>
    <sheetView workbookViewId="0">
      <selection activeCell="A1" sqref="A1"/>
    </sheetView>
  </sheetViews>
  <sheetFormatPr baseColWidth="8" defaultColWidth="14.43" defaultRowHeight="15" customHeight="1"/>
  <cols>
    <col width="25.14" customWidth="1" style="90" min="1" max="1"/>
    <col width="26.71" customWidth="1" style="90" min="2" max="2"/>
    <col width="17.71" customWidth="1" style="90" min="3" max="3"/>
    <col width="20.29" customWidth="1" style="90" min="4" max="4"/>
    <col width="16.71" customWidth="1" style="90" min="7" max="7"/>
    <col width="16.29" customWidth="1" style="90" min="8" max="8"/>
    <col width="17.29" customWidth="1" style="90" min="9" max="9"/>
    <col width="38.14" customWidth="1" style="90" min="11" max="11"/>
  </cols>
  <sheetData>
    <row r="1">
      <c r="A1" s="1" t="inlineStr">
        <is>
          <t>Регион</t>
        </is>
      </c>
      <c r="B1" s="91" t="inlineStr">
        <is>
          <t>Лиды с 30 по 05</t>
        </is>
      </c>
      <c r="C1" s="92" t="n"/>
      <c r="D1" s="4" t="inlineStr">
        <is>
          <t>Динамика Лидов</t>
        </is>
      </c>
      <c r="E1" s="93" t="inlineStr">
        <is>
          <t>Стоимость 
лида</t>
        </is>
      </c>
      <c r="F1" s="92" t="n"/>
      <c r="G1" s="94" t="inlineStr">
        <is>
          <t>Динамика стоимости  (лиды)</t>
        </is>
      </c>
      <c r="H1" s="93" t="inlineStr">
        <is>
          <t xml:space="preserve"> Расход</t>
        </is>
      </c>
      <c r="I1" s="92" t="n"/>
      <c r="J1" s="94" t="inlineStr">
        <is>
          <t>Динамика стоимости  (Затрат)</t>
        </is>
      </c>
    </row>
    <row r="2">
      <c r="A2" s="7" t="n"/>
      <c r="B2" s="10" t="inlineStr">
        <is>
          <t xml:space="preserve">План </t>
        </is>
      </c>
      <c r="C2" s="10" t="inlineStr">
        <is>
          <t>Факт</t>
        </is>
      </c>
      <c r="D2" s="9" t="n"/>
      <c r="E2" s="10" t="inlineStr">
        <is>
          <t>с 23 по 29</t>
        </is>
      </c>
      <c r="F2" s="10" t="inlineStr">
        <is>
          <t>с 30 по 05</t>
        </is>
      </c>
      <c r="G2" s="95" t="n"/>
      <c r="H2" s="10" t="inlineStr">
        <is>
          <t>с 23 по 29</t>
        </is>
      </c>
      <c r="I2" s="10" t="inlineStr">
        <is>
          <t>с 30 по 05</t>
        </is>
      </c>
      <c r="J2" s="95" t="n"/>
    </row>
    <row r="3">
      <c r="A3" s="12" t="inlineStr">
        <is>
          <t>МАГНИТ КРД</t>
        </is>
      </c>
      <c r="B3" s="70" t="n">
        <v>425</v>
      </c>
      <c r="C3" s="14" t="n">
        <v>108</v>
      </c>
      <c r="D3" s="15">
        <f>(C3-B3)/C3</f>
        <v/>
      </c>
      <c r="E3" s="20" t="n">
        <v>41</v>
      </c>
      <c r="F3" s="20" t="n">
        <v>45</v>
      </c>
      <c r="G3" s="17">
        <f>(F3-E3)/F3</f>
        <v/>
      </c>
      <c r="H3" s="24" t="n">
        <v>11191</v>
      </c>
      <c r="I3" s="24" t="n">
        <v>4875</v>
      </c>
      <c r="J3" s="19">
        <f>(I3-H3)/I3</f>
        <v/>
      </c>
    </row>
    <row r="4">
      <c r="A4" s="12" t="inlineStr">
        <is>
          <t>ЛЕНТА КРД</t>
        </is>
      </c>
      <c r="B4" s="70" t="n">
        <v>900</v>
      </c>
      <c r="C4" s="14" t="n">
        <v>690</v>
      </c>
      <c r="D4" s="19">
        <f>(C4-B4)/C4</f>
        <v/>
      </c>
      <c r="E4" s="20" t="n">
        <v>46</v>
      </c>
      <c r="F4" s="20" t="n">
        <v>46</v>
      </c>
      <c r="G4" s="19">
        <f>(F4-E4)/F4</f>
        <v/>
      </c>
      <c r="H4" s="24" t="n">
        <v>55731</v>
      </c>
      <c r="I4" s="24" t="n">
        <v>31315</v>
      </c>
      <c r="J4" s="15">
        <f>(I4-H4)/I4</f>
        <v/>
      </c>
    </row>
    <row r="5">
      <c r="A5" s="12" t="inlineStr">
        <is>
          <t>САДЫ КРД</t>
        </is>
      </c>
      <c r="B5" s="70" t="n">
        <v>250</v>
      </c>
      <c r="C5" s="14" t="n">
        <v>73</v>
      </c>
      <c r="D5" s="15">
        <f>(C5-B5)/C5</f>
        <v/>
      </c>
      <c r="E5" s="20" t="n">
        <v>104</v>
      </c>
      <c r="F5" s="20" t="n">
        <v>53</v>
      </c>
      <c r="G5" s="15">
        <f>(F5-E5)/F5</f>
        <v/>
      </c>
      <c r="H5" s="24" t="n">
        <v>4399</v>
      </c>
      <c r="I5" s="24" t="n">
        <v>3902</v>
      </c>
      <c r="J5" s="19">
        <f>(I5-H5)/I5</f>
        <v/>
      </c>
    </row>
    <row r="6">
      <c r="A6" s="21" t="inlineStr">
        <is>
          <t>ПЯТЕРОЧКА КЗН</t>
        </is>
      </c>
      <c r="B6" s="65" t="inlineStr">
        <is>
          <t>75(2 вакансии)</t>
        </is>
      </c>
      <c r="C6" s="29" t="n">
        <v>16</v>
      </c>
      <c r="D6" s="15">
        <f>(C6-B6)/C6</f>
        <v/>
      </c>
      <c r="E6" s="20" t="n">
        <v>79</v>
      </c>
      <c r="F6" s="20" t="n">
        <v>175</v>
      </c>
      <c r="G6" s="17">
        <f>(F6-E6)/F6</f>
        <v/>
      </c>
      <c r="H6" s="24" t="n">
        <v>1508</v>
      </c>
      <c r="I6" s="24" t="n">
        <v>2810</v>
      </c>
      <c r="J6" s="19">
        <f>(I6-H6)/I6</f>
        <v/>
      </c>
    </row>
    <row r="7">
      <c r="A7" s="21" t="inlineStr">
        <is>
          <t>ТАБЫШ КЗН</t>
        </is>
      </c>
      <c r="B7" s="65" t="inlineStr">
        <is>
          <t>160(урезана потребность)</t>
        </is>
      </c>
      <c r="C7" s="29" t="n">
        <v>58</v>
      </c>
      <c r="D7" s="15">
        <f>(C7-B7)/C7</f>
        <v/>
      </c>
      <c r="E7" s="57" t="n">
        <v>52</v>
      </c>
      <c r="F7" s="57" t="n">
        <v>51</v>
      </c>
      <c r="G7" s="26">
        <f>(F7-E7)/F7</f>
        <v/>
      </c>
      <c r="H7" s="58" t="n">
        <v>2513</v>
      </c>
      <c r="I7" s="58" t="n">
        <v>3186</v>
      </c>
      <c r="J7" s="28">
        <f>(I7-H7)/I7</f>
        <v/>
      </c>
    </row>
    <row r="8">
      <c r="A8" s="21" t="inlineStr">
        <is>
          <t>КБ САМАРА( кабинет кзн)</t>
        </is>
      </c>
      <c r="B8" s="65" t="n">
        <v>210</v>
      </c>
      <c r="C8" s="29" t="n">
        <v>0</v>
      </c>
      <c r="D8" s="19">
        <f>(C8-B8)/C8</f>
        <v/>
      </c>
      <c r="E8" s="31" t="n">
        <v>46</v>
      </c>
      <c r="F8" s="31" t="n">
        <v>0</v>
      </c>
      <c r="G8" s="26">
        <f>(F8-E8)/F8</f>
        <v/>
      </c>
      <c r="H8" s="24" t="n">
        <v>9856</v>
      </c>
      <c r="I8" s="24" t="n">
        <v>0</v>
      </c>
      <c r="J8" s="32" t="inlineStr">
        <is>
          <t>-</t>
        </is>
      </c>
      <c r="K8" s="66" t="inlineStr">
        <is>
          <t>в период с 30 по 05 не было потребности</t>
        </is>
      </c>
    </row>
    <row r="9">
      <c r="A9" s="33" t="inlineStr">
        <is>
          <t>МАГНИТ КЗН</t>
        </is>
      </c>
      <c r="B9" s="64" t="inlineStr">
        <is>
          <t>нету потребности</t>
        </is>
      </c>
      <c r="C9" s="35" t="n">
        <v>0</v>
      </c>
      <c r="D9" s="60" t="inlineStr">
        <is>
          <t>-</t>
        </is>
      </c>
      <c r="E9" s="37" t="n">
        <v>0</v>
      </c>
      <c r="F9" s="37" t="n">
        <v>0</v>
      </c>
      <c r="G9" s="60" t="inlineStr">
        <is>
          <t>-</t>
        </is>
      </c>
      <c r="H9" s="39" t="n">
        <v>0</v>
      </c>
      <c r="I9" s="39" t="n">
        <v>0</v>
      </c>
      <c r="J9" s="32" t="inlineStr">
        <is>
          <t>-</t>
        </is>
      </c>
    </row>
    <row r="10">
      <c r="A10" s="21" t="inlineStr">
        <is>
          <t>ЛЕНТА КЗН</t>
        </is>
      </c>
      <c r="B10" s="65" t="n">
        <v>425</v>
      </c>
      <c r="C10" s="29" t="n">
        <v>566</v>
      </c>
      <c r="D10" s="40">
        <f>(C10-B10)/C10</f>
        <v/>
      </c>
      <c r="E10" s="42" t="n">
        <v>79</v>
      </c>
      <c r="F10" s="42" t="n">
        <v>79</v>
      </c>
      <c r="G10" s="61">
        <f>(F10-E10)/F10</f>
        <v/>
      </c>
      <c r="H10" s="42" t="n">
        <v>36283</v>
      </c>
      <c r="I10" s="42" t="n">
        <v>47960</v>
      </c>
      <c r="J10" s="43">
        <f>(I10-H10)/I10</f>
        <v/>
      </c>
    </row>
    <row r="11">
      <c r="A11" s="44" t="inlineStr">
        <is>
          <t>ЛЕНТА СПБ</t>
        </is>
      </c>
      <c r="B11" s="63" t="n"/>
      <c r="C11" s="45" t="n">
        <v>612</v>
      </c>
      <c r="D11" s="46">
        <f>(C11-B11)/C11</f>
        <v/>
      </c>
      <c r="E11" s="42" t="n">
        <v>109</v>
      </c>
      <c r="F11" s="42" t="n">
        <v>84</v>
      </c>
      <c r="G11" s="47">
        <f>(F11-E11)/F11</f>
        <v/>
      </c>
      <c r="H11" s="42" t="n">
        <v>36062</v>
      </c>
      <c r="I11" s="42" t="n">
        <v>51404</v>
      </c>
      <c r="J11" s="47">
        <f>(I11-H11)/I11</f>
        <v/>
      </c>
    </row>
    <row r="12">
      <c r="A12" s="48" t="inlineStr">
        <is>
          <t>АРНЕСТ МСК</t>
        </is>
      </c>
      <c r="B12" s="63" t="inlineStr">
        <is>
          <t>нету потребности</t>
        </is>
      </c>
      <c r="C12" s="50" t="n">
        <v>0</v>
      </c>
      <c r="D12" s="60" t="inlineStr">
        <is>
          <t>-</t>
        </is>
      </c>
      <c r="E12" s="42" t="n">
        <v>44</v>
      </c>
      <c r="F12" s="42" t="n">
        <v>0</v>
      </c>
      <c r="G12" s="43">
        <f>(F12-E12)/F12</f>
        <v/>
      </c>
      <c r="H12" s="42" t="n">
        <v>88</v>
      </c>
      <c r="I12" s="42" t="n">
        <v>0</v>
      </c>
      <c r="J12" s="47">
        <f>(I12-H12)/I12</f>
        <v/>
      </c>
    </row>
    <row r="13">
      <c r="A13" s="48" t="inlineStr">
        <is>
          <t>ВВ МСК</t>
        </is>
      </c>
      <c r="B13" s="63" t="n"/>
      <c r="C13" s="50" t="n">
        <v>109</v>
      </c>
      <c r="D13" s="46">
        <f>(C13-B13)/C13</f>
        <v/>
      </c>
      <c r="E13" s="42" t="n">
        <v>63</v>
      </c>
      <c r="F13" s="42" t="n">
        <v>60</v>
      </c>
      <c r="G13" s="47">
        <f>(F13-E13)/F13</f>
        <v/>
      </c>
      <c r="H13" s="42" t="n">
        <v>3778</v>
      </c>
      <c r="I13" s="42" t="n">
        <v>6599</v>
      </c>
      <c r="J13" s="43">
        <f>(I13-H13)/I13</f>
        <v/>
      </c>
    </row>
    <row r="14">
      <c r="A14" s="48" t="inlineStr">
        <is>
          <t>МАГНИТ МСК</t>
        </is>
      </c>
      <c r="B14" s="63" t="inlineStr">
        <is>
          <t>нету потребности</t>
        </is>
      </c>
      <c r="C14" s="50" t="n">
        <v>0</v>
      </c>
      <c r="D14" s="60" t="inlineStr">
        <is>
          <t>-</t>
        </is>
      </c>
      <c r="E14" s="42" t="n">
        <v>0</v>
      </c>
      <c r="F14" s="42" t="n">
        <v>0</v>
      </c>
      <c r="G14" s="60" t="inlineStr">
        <is>
          <t>-</t>
        </is>
      </c>
      <c r="H14" s="42" t="n">
        <v>0</v>
      </c>
      <c r="I14" s="42" t="n">
        <v>0</v>
      </c>
      <c r="J14" s="32" t="inlineStr">
        <is>
          <t>-</t>
        </is>
      </c>
    </row>
    <row r="15">
      <c r="A15" s="48" t="inlineStr">
        <is>
          <t xml:space="preserve">ЛЕНТА МСК </t>
        </is>
      </c>
      <c r="B15" s="63" t="n"/>
      <c r="C15" s="50" t="n">
        <v>393</v>
      </c>
      <c r="D15" s="46">
        <f>(C15-B15)/C15</f>
        <v/>
      </c>
      <c r="E15" s="42" t="n">
        <v>64</v>
      </c>
      <c r="F15" s="42" t="n">
        <v>91</v>
      </c>
      <c r="G15" s="43">
        <f>(F15-E15)/F15</f>
        <v/>
      </c>
      <c r="H15" s="42" t="n">
        <v>26809</v>
      </c>
      <c r="I15" s="42" t="n">
        <v>39207</v>
      </c>
      <c r="J15" s="47">
        <f>(I15-H15)/I15</f>
        <v/>
      </c>
    </row>
    <row r="16">
      <c r="A16" s="51" t="inlineStr">
        <is>
          <t>ПАЛЬМИРА ВАХТА</t>
        </is>
      </c>
      <c r="B16" s="64" t="inlineStr">
        <is>
          <t xml:space="preserve">нету потребности </t>
        </is>
      </c>
      <c r="C16" s="52" t="n">
        <v>0</v>
      </c>
      <c r="D16" s="60" t="inlineStr">
        <is>
          <t>-</t>
        </is>
      </c>
      <c r="E16" s="42" t="n">
        <v>285</v>
      </c>
      <c r="F16" s="42" t="n">
        <v>0</v>
      </c>
      <c r="G16" s="47">
        <f>(F16-E16)/F16</f>
        <v/>
      </c>
      <c r="H16" s="42" t="n">
        <v>1143</v>
      </c>
      <c r="I16" s="42" t="n">
        <v>0</v>
      </c>
      <c r="J16" s="43">
        <f>(I16-H16)/I16</f>
        <v/>
      </c>
    </row>
    <row r="17">
      <c r="A17" s="53" t="inlineStr">
        <is>
          <t>ТАБЫШ ЧЛБ</t>
        </is>
      </c>
      <c r="B17" s="67" t="inlineStr">
        <is>
          <t>350(снята потребность)</t>
        </is>
      </c>
      <c r="C17" s="55" t="n">
        <v>81</v>
      </c>
      <c r="D17" s="40">
        <f>(C17-B17)/C17</f>
        <v/>
      </c>
      <c r="E17" s="42" t="n">
        <v>27</v>
      </c>
      <c r="F17" s="42" t="n">
        <v>29</v>
      </c>
      <c r="G17" s="32" t="inlineStr">
        <is>
          <t>-</t>
        </is>
      </c>
      <c r="H17" s="42" t="n">
        <v>5192</v>
      </c>
      <c r="I17" s="42" t="n">
        <v>2346</v>
      </c>
      <c r="J17" s="32" t="inlineStr">
        <is>
          <t>-</t>
        </is>
      </c>
    </row>
    <row r="18">
      <c r="A18" s="53" t="inlineStr">
        <is>
          <t>ЛЕНТА ЧЛБ</t>
        </is>
      </c>
      <c r="B18" s="67" t="n">
        <v>500</v>
      </c>
      <c r="C18" s="55" t="n">
        <v>473</v>
      </c>
      <c r="D18" s="46">
        <f>(C18-B18)/C18</f>
        <v/>
      </c>
      <c r="E18" s="42" t="n">
        <v>43</v>
      </c>
      <c r="F18" s="42" t="n">
        <v>46</v>
      </c>
      <c r="G18" s="43">
        <f>(F18-E18)/F18</f>
        <v/>
      </c>
      <c r="H18" s="42" t="n">
        <v>30669</v>
      </c>
      <c r="I18" s="42" t="n">
        <v>23332</v>
      </c>
      <c r="J18" s="43">
        <f>(I18-H18)/I18</f>
        <v/>
      </c>
    </row>
    <row r="19">
      <c r="A19" s="68" t="n"/>
      <c r="B19" s="68" t="n"/>
      <c r="C19" s="68" t="n"/>
      <c r="D19" s="68" t="n"/>
      <c r="E19" s="69">
        <f>SUM(E3:E18)/16</f>
        <v/>
      </c>
      <c r="F19" s="69">
        <f>SUM(F3:F18)/16</f>
        <v/>
      </c>
      <c r="G19" s="68" t="n"/>
      <c r="H19" s="68" t="n"/>
      <c r="I19" s="68" t="n"/>
      <c r="J19" s="68" t="n"/>
    </row>
    <row r="20">
      <c r="A20" s="68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</row>
  </sheetData>
  <mergeCells count="5">
    <mergeCell ref="E1:F1"/>
    <mergeCell ref="H1:I1"/>
    <mergeCell ref="G1:G2"/>
    <mergeCell ref="B1:C1"/>
    <mergeCell ref="J1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20"/>
  <sheetViews>
    <sheetView workbookViewId="0">
      <selection activeCell="A1" sqref="A1"/>
    </sheetView>
  </sheetViews>
  <sheetFormatPr baseColWidth="8" defaultColWidth="14.43" defaultRowHeight="15" customHeight="1"/>
  <cols>
    <col width="22.43" customWidth="1" style="90" min="1" max="1"/>
    <col width="19" customWidth="1" style="90" min="2" max="3"/>
    <col width="19.29" customWidth="1" style="90" min="4" max="4"/>
    <col width="17.71" customWidth="1" style="90" min="5" max="5"/>
    <col width="17.43" customWidth="1" style="90" min="6" max="6"/>
    <col width="19.14" customWidth="1" style="90" min="8" max="8"/>
    <col width="17.14" customWidth="1" style="90" min="9" max="9"/>
  </cols>
  <sheetData>
    <row r="1">
      <c r="A1" s="1" t="inlineStr">
        <is>
          <t>Регион</t>
        </is>
      </c>
      <c r="B1" s="91" t="inlineStr">
        <is>
          <t>Лиды с 06 по 12</t>
        </is>
      </c>
      <c r="C1" s="92" t="n"/>
      <c r="D1" s="4" t="inlineStr">
        <is>
          <t>Динамика Лидов</t>
        </is>
      </c>
      <c r="E1" s="93" t="inlineStr">
        <is>
          <t>Стоимость 
лида</t>
        </is>
      </c>
      <c r="F1" s="92" t="n"/>
      <c r="G1" s="94" t="inlineStr">
        <is>
          <t>Динамика стоимости  (лиды)</t>
        </is>
      </c>
      <c r="H1" s="93" t="inlineStr">
        <is>
          <t xml:space="preserve"> Расход</t>
        </is>
      </c>
      <c r="I1" s="92" t="n"/>
      <c r="J1" s="94" t="inlineStr">
        <is>
          <t>Динамика стоимости  (Затрат)</t>
        </is>
      </c>
    </row>
    <row r="2">
      <c r="A2" s="7" t="n"/>
      <c r="B2" s="10" t="inlineStr">
        <is>
          <t xml:space="preserve">План </t>
        </is>
      </c>
      <c r="C2" s="10" t="inlineStr">
        <is>
          <t>Факт</t>
        </is>
      </c>
      <c r="D2" s="9" t="n"/>
      <c r="E2" s="10" t="inlineStr">
        <is>
          <t>с 30 по 05</t>
        </is>
      </c>
      <c r="F2" s="10" t="inlineStr">
        <is>
          <t>с 06 по 12</t>
        </is>
      </c>
      <c r="G2" s="95" t="n"/>
      <c r="H2" s="10" t="inlineStr">
        <is>
          <t>с 30 по 05</t>
        </is>
      </c>
      <c r="I2" s="10" t="inlineStr">
        <is>
          <t>с 06 по 12</t>
        </is>
      </c>
      <c r="J2" s="95" t="n"/>
    </row>
    <row r="3">
      <c r="A3" s="12" t="inlineStr">
        <is>
          <t>МАГНИТ КРД</t>
        </is>
      </c>
      <c r="B3" s="70" t="n">
        <v>300</v>
      </c>
      <c r="C3" s="14" t="n">
        <v>76</v>
      </c>
      <c r="D3" s="15">
        <f>(C3-B3)/C3</f>
        <v/>
      </c>
      <c r="E3" s="20" t="n">
        <v>45</v>
      </c>
      <c r="F3" s="20" t="n">
        <v>51</v>
      </c>
      <c r="G3" s="17">
        <f>(F3-E3)/F3</f>
        <v/>
      </c>
      <c r="H3" s="24" t="n">
        <v>4875</v>
      </c>
      <c r="I3" s="24" t="n">
        <v>3936</v>
      </c>
      <c r="J3" s="19">
        <f>(I3-H3)/I3</f>
        <v/>
      </c>
    </row>
    <row r="4">
      <c r="A4" s="12" t="inlineStr">
        <is>
          <t>ЛЕНТА КРД</t>
        </is>
      </c>
      <c r="B4" s="70" t="n">
        <v>300</v>
      </c>
      <c r="C4" s="14" t="n">
        <v>570</v>
      </c>
      <c r="D4" s="19">
        <f>(C4-B4)/C4</f>
        <v/>
      </c>
      <c r="E4" s="20" t="n">
        <v>46</v>
      </c>
      <c r="F4" s="20" t="n">
        <v>61</v>
      </c>
      <c r="G4" s="15">
        <f>(F4-E4)/F4</f>
        <v/>
      </c>
      <c r="H4" s="24" t="n">
        <v>31315</v>
      </c>
      <c r="I4" s="24" t="n">
        <v>38385</v>
      </c>
      <c r="J4" s="15">
        <f>(I4-H4)/I4</f>
        <v/>
      </c>
    </row>
    <row r="5">
      <c r="A5" s="12" t="inlineStr">
        <is>
          <t>САДЫ КРД</t>
        </is>
      </c>
      <c r="B5" s="70" t="n">
        <v>113</v>
      </c>
      <c r="C5" s="14" t="n">
        <v>113</v>
      </c>
      <c r="D5" s="15">
        <f>(C5-B5)/C5</f>
        <v/>
      </c>
      <c r="E5" s="20" t="n">
        <v>53</v>
      </c>
      <c r="F5" s="20" t="n">
        <v>63</v>
      </c>
      <c r="G5" s="15">
        <f>(F5-E5)/F5</f>
        <v/>
      </c>
      <c r="H5" s="24" t="n">
        <v>3902</v>
      </c>
      <c r="I5" s="24" t="n">
        <v>3868</v>
      </c>
      <c r="J5" s="19">
        <f>(I5-H5)/I5</f>
        <v/>
      </c>
    </row>
    <row r="6">
      <c r="A6" s="21" t="inlineStr">
        <is>
          <t>ПЯТЕРОЧКА КЗН</t>
        </is>
      </c>
      <c r="B6" s="65" t="n">
        <v>75</v>
      </c>
      <c r="C6" s="29" t="n">
        <v>42</v>
      </c>
      <c r="D6" s="15">
        <f>(C6-B6)/C6</f>
        <v/>
      </c>
      <c r="E6" s="20" t="n">
        <v>175</v>
      </c>
      <c r="F6" s="20" t="n">
        <v>161</v>
      </c>
      <c r="G6" s="71">
        <f>(F6-E6)/F6</f>
        <v/>
      </c>
      <c r="H6" s="24" t="n">
        <v>2810</v>
      </c>
      <c r="I6" s="24" t="n">
        <v>2368</v>
      </c>
      <c r="J6" s="19">
        <f>(I6-H6)/I6</f>
        <v/>
      </c>
    </row>
    <row r="7">
      <c r="A7" s="21" t="inlineStr">
        <is>
          <t>ТАБЫШ КЗН</t>
        </is>
      </c>
      <c r="B7" s="65" t="n">
        <v>87</v>
      </c>
      <c r="C7" s="29" t="n">
        <v>50</v>
      </c>
      <c r="D7" s="15">
        <f>(C7-B7)/C7</f>
        <v/>
      </c>
      <c r="E7" s="57" t="n">
        <v>51</v>
      </c>
      <c r="F7" s="57" t="n">
        <v>69</v>
      </c>
      <c r="G7" s="28">
        <f>(F7-E7)/F7</f>
        <v/>
      </c>
      <c r="H7" s="58" t="n">
        <v>3186</v>
      </c>
      <c r="I7" s="58" t="n">
        <v>3497</v>
      </c>
      <c r="J7" s="28">
        <f>(I7-H7)/I7</f>
        <v/>
      </c>
    </row>
    <row r="8">
      <c r="A8" s="21" t="inlineStr">
        <is>
          <t>КБ САМАРА( кабинет кзн)</t>
        </is>
      </c>
      <c r="B8" s="65" t="n">
        <v>125</v>
      </c>
      <c r="C8" s="29" t="n">
        <v>450</v>
      </c>
      <c r="D8" s="19">
        <f>(C8-B8)/C8</f>
        <v/>
      </c>
      <c r="E8" s="31" t="n">
        <v>0</v>
      </c>
      <c r="F8" s="31" t="n">
        <v>41</v>
      </c>
      <c r="G8" s="28">
        <f>(F8-E8)/F8</f>
        <v/>
      </c>
      <c r="H8" s="24" t="n">
        <v>0</v>
      </c>
      <c r="I8" s="24" t="n">
        <v>18496</v>
      </c>
      <c r="J8" s="32" t="inlineStr">
        <is>
          <t>-</t>
        </is>
      </c>
    </row>
    <row r="9">
      <c r="A9" s="33" t="inlineStr">
        <is>
          <t>МАГНИТ КЗН</t>
        </is>
      </c>
      <c r="B9" s="72" t="n">
        <v>30</v>
      </c>
      <c r="C9" s="35" t="n">
        <v>3</v>
      </c>
      <c r="D9" s="60" t="inlineStr">
        <is>
          <t>-</t>
        </is>
      </c>
      <c r="E9" s="37" t="n">
        <v>175</v>
      </c>
      <c r="F9" s="37" t="n">
        <v>56</v>
      </c>
      <c r="G9" s="26">
        <f>(F9-E9)/F9</f>
        <v/>
      </c>
      <c r="H9" s="39" t="n">
        <v>2810</v>
      </c>
      <c r="I9" s="39" t="n">
        <v>168</v>
      </c>
      <c r="J9" s="32" t="inlineStr">
        <is>
          <t>-</t>
        </is>
      </c>
    </row>
    <row r="10">
      <c r="A10" s="21" t="inlineStr">
        <is>
          <t>ЛЕНТА КЗН</t>
        </is>
      </c>
      <c r="B10" s="65" t="n">
        <v>150</v>
      </c>
      <c r="C10" s="29" t="n">
        <v>1314</v>
      </c>
      <c r="D10" s="73">
        <f>(C10-B10)/C10</f>
        <v/>
      </c>
      <c r="E10" s="42" t="n">
        <v>79</v>
      </c>
      <c r="F10" s="42" t="n">
        <v>56</v>
      </c>
      <c r="G10" s="26">
        <f>(F10-E10)/F10</f>
        <v/>
      </c>
      <c r="H10" s="42" t="n">
        <v>47960</v>
      </c>
      <c r="I10" s="42" t="n">
        <v>69409</v>
      </c>
      <c r="J10" s="43">
        <f>(I10-H10)/I10</f>
        <v/>
      </c>
    </row>
    <row r="11">
      <c r="A11" s="44" t="inlineStr">
        <is>
          <t>ЛЕНТА СПБ</t>
        </is>
      </c>
      <c r="B11" s="74" t="n">
        <v>300</v>
      </c>
      <c r="C11" s="45" t="n">
        <v>467</v>
      </c>
      <c r="D11" s="46">
        <f>(C11-B11)/C11</f>
        <v/>
      </c>
      <c r="E11" s="42" t="n">
        <v>84</v>
      </c>
      <c r="F11" s="42" t="n">
        <v>98</v>
      </c>
      <c r="G11" s="43">
        <f>(F11-E11)/F11</f>
        <v/>
      </c>
      <c r="H11" s="42" t="n">
        <v>51404</v>
      </c>
      <c r="I11" s="42" t="n">
        <v>45781</v>
      </c>
      <c r="J11" s="47">
        <f>(I11-H11)/I11</f>
        <v/>
      </c>
    </row>
    <row r="12">
      <c r="A12" s="75" t="inlineStr">
        <is>
          <t>Ростикс</t>
        </is>
      </c>
      <c r="B12" s="74" t="n">
        <v>237</v>
      </c>
      <c r="C12" s="50" t="n">
        <v>54</v>
      </c>
      <c r="D12" s="60" t="inlineStr">
        <is>
          <t>-</t>
        </is>
      </c>
      <c r="E12" s="42" t="n">
        <v>0</v>
      </c>
      <c r="F12" s="42" t="n">
        <v>78</v>
      </c>
      <c r="G12" s="76">
        <f>(F12-E12)/F12</f>
        <v/>
      </c>
      <c r="H12" s="42" t="n">
        <v>0</v>
      </c>
      <c r="I12" s="42" t="n">
        <v>2569</v>
      </c>
      <c r="J12" s="76">
        <f>(I12-H12)/I12</f>
        <v/>
      </c>
    </row>
    <row r="13">
      <c r="A13" s="48" t="inlineStr">
        <is>
          <t>ВВ МСК</t>
        </is>
      </c>
      <c r="B13" s="74" t="n">
        <v>200</v>
      </c>
      <c r="C13" s="50" t="n">
        <v>457</v>
      </c>
      <c r="D13" s="46">
        <f>(C13-B13)/C13</f>
        <v/>
      </c>
      <c r="E13" s="42" t="n">
        <v>60</v>
      </c>
      <c r="F13" s="42" t="n">
        <v>51</v>
      </c>
      <c r="G13" s="47">
        <f>(F13-E13)/F13</f>
        <v/>
      </c>
      <c r="H13" s="42" t="n">
        <v>6599</v>
      </c>
      <c r="I13" s="42" t="n">
        <v>23347</v>
      </c>
      <c r="J13" s="43">
        <f>(I13-H13)/I13</f>
        <v/>
      </c>
    </row>
    <row r="14">
      <c r="A14" s="48" t="inlineStr">
        <is>
          <t>МАГНИТ МСК</t>
        </is>
      </c>
      <c r="B14" s="74" t="n">
        <v>0</v>
      </c>
      <c r="C14" s="50" t="n">
        <v>0</v>
      </c>
      <c r="D14" s="60" t="inlineStr">
        <is>
          <t>-</t>
        </is>
      </c>
      <c r="E14" s="42" t="n">
        <v>0</v>
      </c>
      <c r="F14" s="42" t="n">
        <v>0</v>
      </c>
      <c r="G14" s="60" t="inlineStr">
        <is>
          <t>-</t>
        </is>
      </c>
      <c r="H14" s="42" t="n">
        <v>0</v>
      </c>
      <c r="I14" s="42" t="n">
        <v>0</v>
      </c>
      <c r="J14" s="32" t="inlineStr">
        <is>
          <t>-</t>
        </is>
      </c>
    </row>
    <row r="15">
      <c r="A15" s="48" t="inlineStr">
        <is>
          <t xml:space="preserve">ЛЕНТА МСК </t>
        </is>
      </c>
      <c r="B15" s="74" t="n">
        <v>175</v>
      </c>
      <c r="C15" s="50" t="n">
        <v>1424</v>
      </c>
      <c r="D15" s="46">
        <f>(C15-B15)/C15</f>
        <v/>
      </c>
      <c r="E15" s="42" t="n">
        <v>91</v>
      </c>
      <c r="F15" s="42" t="n">
        <v>62</v>
      </c>
      <c r="G15" s="77">
        <f>(F15-E15)/F15</f>
        <v/>
      </c>
      <c r="H15" s="42" t="n">
        <v>39207</v>
      </c>
      <c r="I15" s="42" t="n">
        <v>90483</v>
      </c>
      <c r="J15" s="43">
        <f>(I15-H15)/I15</f>
        <v/>
      </c>
    </row>
    <row r="16">
      <c r="A16" s="78" t="inlineStr">
        <is>
          <t>Ростикс члб</t>
        </is>
      </c>
      <c r="B16" s="79" t="n">
        <v>237</v>
      </c>
      <c r="C16" s="80" t="n">
        <v>206</v>
      </c>
      <c r="D16" s="60" t="inlineStr">
        <is>
          <t>-</t>
        </is>
      </c>
      <c r="E16" s="42" t="n">
        <v>0</v>
      </c>
      <c r="F16" s="42" t="n">
        <v>85</v>
      </c>
      <c r="G16" s="47">
        <f>(F16-E16)/F16</f>
        <v/>
      </c>
      <c r="H16" s="42" t="n">
        <v>0</v>
      </c>
      <c r="I16" s="42" t="n">
        <v>4258</v>
      </c>
      <c r="J16" s="43">
        <f>(I16-H16)/I16</f>
        <v/>
      </c>
    </row>
    <row r="17">
      <c r="A17" s="53" t="inlineStr">
        <is>
          <t>ТАБЫШ ЧЛБ</t>
        </is>
      </c>
      <c r="B17" s="67" t="n">
        <v>100</v>
      </c>
      <c r="C17" s="55" t="n">
        <v>100</v>
      </c>
      <c r="D17" s="40">
        <f>(C17-B17)/C17</f>
        <v/>
      </c>
      <c r="E17" s="42" t="n">
        <v>29</v>
      </c>
      <c r="F17" s="42" t="n">
        <v>31</v>
      </c>
      <c r="G17" s="32" t="inlineStr">
        <is>
          <t>-</t>
        </is>
      </c>
      <c r="H17" s="42" t="n">
        <v>2346</v>
      </c>
      <c r="I17" s="42" t="n">
        <v>3185</v>
      </c>
      <c r="J17" s="32" t="inlineStr">
        <is>
          <t>-</t>
        </is>
      </c>
    </row>
    <row r="18">
      <c r="A18" s="53" t="inlineStr">
        <is>
          <t>ЛЕНТА ЧЛБ</t>
        </is>
      </c>
      <c r="B18" s="67" t="n">
        <v>125</v>
      </c>
      <c r="C18" s="55" t="n">
        <v>758</v>
      </c>
      <c r="D18" s="46">
        <f>(C18-B18)/C18</f>
        <v/>
      </c>
      <c r="E18" s="42" t="n">
        <v>46</v>
      </c>
      <c r="F18" s="42" t="n">
        <v>52</v>
      </c>
      <c r="G18" s="43">
        <f>(F18-E18)/F18</f>
        <v/>
      </c>
      <c r="H18" s="42" t="n">
        <v>23332</v>
      </c>
      <c r="I18" s="42" t="n">
        <v>32496</v>
      </c>
      <c r="J18" s="43">
        <f>(I18-H18)/I18</f>
        <v/>
      </c>
    </row>
    <row r="19">
      <c r="A19" s="68" t="n"/>
      <c r="B19" s="68" t="n"/>
      <c r="C19" s="68" t="n"/>
      <c r="D19" s="68" t="n"/>
      <c r="E19" s="69">
        <f>SUM(E3:E18)/16</f>
        <v/>
      </c>
      <c r="F19" s="69">
        <f>SUM(F3:F18)/16</f>
        <v/>
      </c>
      <c r="G19" s="68" t="n"/>
      <c r="H19" s="81">
        <f>SUM(H3:H18)</f>
        <v/>
      </c>
      <c r="I19" s="81">
        <f>SUM(I3:I18)</f>
        <v/>
      </c>
      <c r="J19" s="68" t="n"/>
    </row>
    <row r="20">
      <c r="A20" s="68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</row>
  </sheetData>
  <mergeCells count="5">
    <mergeCell ref="E1:F1"/>
    <mergeCell ref="H1:I1"/>
    <mergeCell ref="G1:G2"/>
    <mergeCell ref="B1:C1"/>
    <mergeCell ref="J1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21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90" min="1" max="1"/>
    <col width="18.71" customWidth="1" style="90" min="2" max="2"/>
    <col width="20.43" customWidth="1" style="90" min="3" max="3"/>
    <col width="18.43" customWidth="1" style="90" min="4" max="4"/>
    <col width="17" customWidth="1" style="90" min="7" max="7"/>
  </cols>
  <sheetData>
    <row r="1">
      <c r="A1" s="1" t="inlineStr">
        <is>
          <t>Регион</t>
        </is>
      </c>
      <c r="B1" s="91" t="inlineStr">
        <is>
          <t>Лиды с 13 по 19</t>
        </is>
      </c>
      <c r="C1" s="92" t="n"/>
      <c r="D1" s="4" t="inlineStr">
        <is>
          <t>Динамика Лидов</t>
        </is>
      </c>
      <c r="E1" s="93" t="inlineStr">
        <is>
          <t>Стоимость 
лида</t>
        </is>
      </c>
      <c r="F1" s="92" t="n"/>
      <c r="G1" s="94" t="inlineStr">
        <is>
          <t>Динамика стоимости  (лиды)</t>
        </is>
      </c>
      <c r="H1" s="93" t="inlineStr">
        <is>
          <t xml:space="preserve"> Расход</t>
        </is>
      </c>
      <c r="I1" s="92" t="n"/>
      <c r="J1" s="94" t="inlineStr">
        <is>
          <t>Динамика стоимости  (Затрат)</t>
        </is>
      </c>
    </row>
    <row r="2">
      <c r="A2" s="7" t="n"/>
      <c r="B2" s="10" t="inlineStr">
        <is>
          <t xml:space="preserve">План </t>
        </is>
      </c>
      <c r="C2" s="10" t="inlineStr">
        <is>
          <t>Факт</t>
        </is>
      </c>
      <c r="D2" s="9" t="n"/>
      <c r="E2" s="10" t="inlineStr">
        <is>
          <t>с 06 по 12</t>
        </is>
      </c>
      <c r="F2" s="10" t="inlineStr">
        <is>
          <t>с 13 по 19</t>
        </is>
      </c>
      <c r="G2" s="95" t="n"/>
      <c r="H2" s="10" t="inlineStr">
        <is>
          <t>с 06 по 12</t>
        </is>
      </c>
      <c r="I2" s="10" t="inlineStr">
        <is>
          <t>с 13 по 19</t>
        </is>
      </c>
      <c r="J2" s="95" t="n"/>
    </row>
    <row r="3">
      <c r="A3" s="12" t="inlineStr">
        <is>
          <t>МАГНИТ КРД</t>
        </is>
      </c>
      <c r="B3" s="70" t="n">
        <v>300</v>
      </c>
      <c r="C3" s="14" t="n">
        <v>175</v>
      </c>
      <c r="D3" s="15">
        <f>(C3-B3)/C3</f>
        <v/>
      </c>
      <c r="E3" s="20" t="n">
        <v>51</v>
      </c>
      <c r="F3" s="20" t="n">
        <v>50</v>
      </c>
      <c r="G3" s="17">
        <f>(F3-E3)/F3</f>
        <v/>
      </c>
      <c r="H3" s="24" t="n">
        <v>3936</v>
      </c>
      <c r="I3" s="24" t="n">
        <v>8757</v>
      </c>
      <c r="J3" s="19">
        <f>(I3-H3)/I3</f>
        <v/>
      </c>
    </row>
    <row r="4">
      <c r="A4" s="12" t="inlineStr">
        <is>
          <t>ЛЕНТА КРД</t>
        </is>
      </c>
      <c r="B4" s="70" t="n">
        <v>300</v>
      </c>
      <c r="C4" s="14" t="n">
        <v>392</v>
      </c>
      <c r="D4" s="82">
        <f>(C4-B4)/C4</f>
        <v/>
      </c>
      <c r="E4" s="20" t="n">
        <v>61</v>
      </c>
      <c r="F4" s="20" t="n">
        <v>67</v>
      </c>
      <c r="G4" s="15">
        <f>(F4-E4)/F4</f>
        <v/>
      </c>
      <c r="H4" s="24" t="n">
        <v>38385</v>
      </c>
      <c r="I4" s="24" t="n">
        <v>28253</v>
      </c>
      <c r="J4" s="15">
        <f>(I4-H4)/I4</f>
        <v/>
      </c>
      <c r="K4" s="83" t="inlineStr">
        <is>
          <t>план выполнен</t>
        </is>
      </c>
    </row>
    <row r="5">
      <c r="A5" s="12" t="inlineStr">
        <is>
          <t>САДЫ КРД</t>
        </is>
      </c>
      <c r="B5" s="70" t="n">
        <v>113</v>
      </c>
      <c r="C5" s="14" t="n">
        <v>113</v>
      </c>
      <c r="D5" s="82">
        <f>(C5-B5)/C5</f>
        <v/>
      </c>
      <c r="E5" s="20" t="n">
        <v>63</v>
      </c>
      <c r="F5" s="20" t="n">
        <v>62</v>
      </c>
      <c r="G5" s="15">
        <f>(F5-E5)/F5</f>
        <v/>
      </c>
      <c r="H5" s="24" t="n">
        <v>3868</v>
      </c>
      <c r="I5" s="24" t="n">
        <v>9159</v>
      </c>
      <c r="J5" s="19">
        <f>(I5-H5)/I5</f>
        <v/>
      </c>
      <c r="K5" s="83" t="inlineStr">
        <is>
          <t>снята потребность 15.04</t>
        </is>
      </c>
    </row>
    <row r="6">
      <c r="A6" s="21" t="inlineStr">
        <is>
          <t>ПЯТЕРОЧКА КЗН</t>
        </is>
      </c>
      <c r="B6" s="65" t="n">
        <v>75</v>
      </c>
      <c r="C6" s="29" t="n">
        <v>71</v>
      </c>
      <c r="D6" s="15">
        <f>(C6-B6)/C6</f>
        <v/>
      </c>
      <c r="E6" s="20" t="n">
        <v>161</v>
      </c>
      <c r="F6" s="20" t="n">
        <v>126</v>
      </c>
      <c r="G6" s="71">
        <f>(F6-E6)/F6</f>
        <v/>
      </c>
      <c r="H6" s="24" t="n">
        <v>2810</v>
      </c>
      <c r="I6" s="24" t="n">
        <v>8968</v>
      </c>
      <c r="J6" s="19">
        <f>(I6-H6)/I6</f>
        <v/>
      </c>
    </row>
    <row r="7">
      <c r="A7" s="21" t="inlineStr">
        <is>
          <t>ТАБЫШ КЗН</t>
        </is>
      </c>
      <c r="B7" s="65" t="n">
        <v>87</v>
      </c>
      <c r="C7" s="29" t="n">
        <v>39</v>
      </c>
      <c r="D7" s="15">
        <f>(C7-B7)/C7</f>
        <v/>
      </c>
      <c r="E7" s="57" t="n">
        <v>69</v>
      </c>
      <c r="F7" s="57" t="n">
        <v>112</v>
      </c>
      <c r="G7" s="28">
        <f>(F7-E7)/F7</f>
        <v/>
      </c>
      <c r="H7" s="58" t="n">
        <v>3497</v>
      </c>
      <c r="I7" s="58" t="n">
        <v>4388</v>
      </c>
      <c r="J7" s="28">
        <f>(I7-H7)/I7</f>
        <v/>
      </c>
    </row>
    <row r="8">
      <c r="A8" s="21" t="inlineStr">
        <is>
          <t>КБ САМАРА( кабинет кзн)</t>
        </is>
      </c>
      <c r="B8" s="65" t="n">
        <v>125</v>
      </c>
      <c r="C8" s="29" t="n">
        <v>286</v>
      </c>
      <c r="D8" s="82">
        <f>(C8-B8)/C8</f>
        <v/>
      </c>
      <c r="E8" s="31" t="n">
        <v>41</v>
      </c>
      <c r="F8" s="31" t="n">
        <v>36</v>
      </c>
      <c r="G8" s="28">
        <f>(F8-E8)/F8</f>
        <v/>
      </c>
      <c r="H8" s="24" t="n">
        <v>18496</v>
      </c>
      <c r="I8" s="24" t="n">
        <v>10368</v>
      </c>
      <c r="J8" s="28">
        <f>(I8-H8)/I8</f>
        <v/>
      </c>
      <c r="K8" s="83" t="inlineStr">
        <is>
          <t>20.04 снята потребность,план выполнен</t>
        </is>
      </c>
    </row>
    <row r="9">
      <c r="A9" s="33" t="inlineStr">
        <is>
          <t>МАГНИТ КЗН</t>
        </is>
      </c>
      <c r="B9" s="72" t="n">
        <v>30</v>
      </c>
      <c r="C9" s="35" t="n">
        <v>7</v>
      </c>
      <c r="D9" s="60" t="inlineStr">
        <is>
          <t>-</t>
        </is>
      </c>
      <c r="E9" s="37" t="n">
        <v>56</v>
      </c>
      <c r="F9" s="37" t="n">
        <v>101</v>
      </c>
      <c r="G9" s="26">
        <f>(F9-E9)/F9</f>
        <v/>
      </c>
      <c r="H9" s="39" t="n">
        <v>168</v>
      </c>
      <c r="I9" s="39" t="n">
        <v>710</v>
      </c>
      <c r="J9" s="28">
        <f>(I9-H9)/I9</f>
        <v/>
      </c>
    </row>
    <row r="10">
      <c r="A10" s="21" t="inlineStr">
        <is>
          <t>ЛЕНТА КЗН</t>
        </is>
      </c>
      <c r="B10" s="65" t="n">
        <v>150</v>
      </c>
      <c r="C10" s="29" t="n">
        <v>1314</v>
      </c>
      <c r="D10" s="73">
        <f>(C10-B10)/C10</f>
        <v/>
      </c>
      <c r="E10" s="42" t="n">
        <v>56</v>
      </c>
      <c r="F10" s="42" t="n">
        <v>60</v>
      </c>
      <c r="G10" s="26">
        <f>(F10-E10)/F10</f>
        <v/>
      </c>
      <c r="H10" s="42" t="n">
        <v>69409</v>
      </c>
      <c r="I10" s="42" t="n">
        <v>38977</v>
      </c>
      <c r="J10" s="43">
        <f>(I10-H10)/I10</f>
        <v/>
      </c>
      <c r="K10" s="83" t="inlineStr">
        <is>
          <t>план выполнен</t>
        </is>
      </c>
    </row>
    <row r="11">
      <c r="A11" s="44" t="inlineStr">
        <is>
          <t>ЛЕНТА СПБ</t>
        </is>
      </c>
      <c r="B11" s="72" t="n">
        <v>300</v>
      </c>
      <c r="C11" s="45" t="n">
        <v>423</v>
      </c>
      <c r="D11" s="73">
        <f>(C11-B11)/C11</f>
        <v/>
      </c>
      <c r="E11" s="42" t="n">
        <v>98</v>
      </c>
      <c r="F11" s="42" t="n">
        <v>111</v>
      </c>
      <c r="G11" s="43">
        <f>(F11-E11)/F11</f>
        <v/>
      </c>
      <c r="H11" s="42" t="n">
        <v>45781</v>
      </c>
      <c r="I11" s="42" t="n">
        <v>47207</v>
      </c>
      <c r="J11" s="47">
        <f>(I11-H11)/I11</f>
        <v/>
      </c>
      <c r="K11" s="83" t="inlineStr">
        <is>
          <t>план выполнен</t>
        </is>
      </c>
    </row>
    <row r="12">
      <c r="A12" s="75" t="inlineStr">
        <is>
          <t>Ростикс</t>
        </is>
      </c>
      <c r="B12" s="72" t="n">
        <v>237</v>
      </c>
      <c r="C12" s="50" t="n">
        <v>87</v>
      </c>
      <c r="D12" s="60" t="inlineStr">
        <is>
          <t>-</t>
        </is>
      </c>
      <c r="E12" s="42" t="n">
        <v>78</v>
      </c>
      <c r="F12" s="42" t="n">
        <v>80</v>
      </c>
      <c r="G12" s="76">
        <f>(F12-E12)/F12</f>
        <v/>
      </c>
      <c r="H12" s="42" t="n">
        <v>2569</v>
      </c>
      <c r="I12" s="42" t="n">
        <v>23827</v>
      </c>
      <c r="J12" s="76">
        <f>(I12-H12)/I12</f>
        <v/>
      </c>
    </row>
    <row r="13">
      <c r="A13" s="48" t="inlineStr">
        <is>
          <t>ВВ МСК</t>
        </is>
      </c>
      <c r="B13" s="72" t="n">
        <v>200</v>
      </c>
      <c r="C13" s="50" t="n">
        <v>293</v>
      </c>
      <c r="D13" s="73">
        <f>(C13-B13)/C13</f>
        <v/>
      </c>
      <c r="E13" s="42" t="n">
        <v>51</v>
      </c>
      <c r="F13" s="42" t="n">
        <v>50</v>
      </c>
      <c r="G13" s="47">
        <f>(F13-E13)/F13</f>
        <v/>
      </c>
      <c r="H13" s="42" t="n">
        <v>23347</v>
      </c>
      <c r="I13" s="42" t="n">
        <v>14881</v>
      </c>
      <c r="J13" s="43">
        <f>(I13-H13)/I13</f>
        <v/>
      </c>
      <c r="K13" s="83" t="inlineStr">
        <is>
          <t>план выполнен</t>
        </is>
      </c>
    </row>
    <row r="14">
      <c r="A14" s="48" t="inlineStr">
        <is>
          <t>МАГНИТ МСК</t>
        </is>
      </c>
      <c r="B14" s="72" t="n">
        <v>0</v>
      </c>
      <c r="C14" s="50" t="n">
        <v>0</v>
      </c>
      <c r="D14" s="60" t="inlineStr">
        <is>
          <t>-</t>
        </is>
      </c>
      <c r="E14" s="42" t="n">
        <v>0</v>
      </c>
      <c r="F14" s="42" t="n">
        <v>0</v>
      </c>
      <c r="G14" s="60" t="inlineStr">
        <is>
          <t>-</t>
        </is>
      </c>
      <c r="H14" s="42" t="n">
        <v>0</v>
      </c>
      <c r="I14" s="42" t="n">
        <v>0</v>
      </c>
      <c r="J14" s="32" t="inlineStr">
        <is>
          <t>-</t>
        </is>
      </c>
      <c r="K14" s="83" t="inlineStr">
        <is>
          <t>нет потребности</t>
        </is>
      </c>
    </row>
    <row r="15">
      <c r="A15" s="48" t="inlineStr">
        <is>
          <t xml:space="preserve">ЛЕНТА МСК </t>
        </is>
      </c>
      <c r="B15" s="72" t="n">
        <v>175</v>
      </c>
      <c r="C15" s="50" t="n">
        <v>524</v>
      </c>
      <c r="D15" s="73">
        <f>(C15-B15)/C15</f>
        <v/>
      </c>
      <c r="E15" s="42" t="n">
        <v>62</v>
      </c>
      <c r="F15" s="42" t="n">
        <v>77</v>
      </c>
      <c r="G15" s="77">
        <f>(F15-E15)/F15</f>
        <v/>
      </c>
      <c r="H15" s="42" t="n">
        <v>90483</v>
      </c>
      <c r="I15" s="42" t="n">
        <v>47079</v>
      </c>
      <c r="J15" s="43">
        <f>(I15-H15)/I15</f>
        <v/>
      </c>
      <c r="K15" s="83" t="inlineStr">
        <is>
          <t>план выполнен</t>
        </is>
      </c>
    </row>
    <row r="16">
      <c r="A16" s="78" t="inlineStr">
        <is>
          <t>Ростикс члб</t>
        </is>
      </c>
      <c r="B16" s="72" t="n">
        <v>237</v>
      </c>
      <c r="C16" s="80" t="n">
        <v>342</v>
      </c>
      <c r="D16" s="73">
        <f>(C16-B16)/C16</f>
        <v/>
      </c>
      <c r="E16" s="42" t="n">
        <v>85</v>
      </c>
      <c r="F16" s="42" t="n">
        <v>72</v>
      </c>
      <c r="G16" s="47">
        <f>(F16-E16)/F16</f>
        <v/>
      </c>
      <c r="H16" s="42" t="n">
        <v>4258</v>
      </c>
      <c r="I16" s="42" t="n">
        <v>17483</v>
      </c>
      <c r="J16" s="61">
        <f>(I16-H16)/I16</f>
        <v/>
      </c>
    </row>
    <row r="17">
      <c r="A17" s="53" t="inlineStr">
        <is>
          <t>ТАБЫШ ЧЛБ</t>
        </is>
      </c>
      <c r="B17" s="67" t="n">
        <v>100</v>
      </c>
      <c r="C17" s="55" t="n">
        <v>205</v>
      </c>
      <c r="D17" s="73">
        <f>(C17-B17)/C17</f>
        <v/>
      </c>
      <c r="E17" s="42" t="n">
        <v>31</v>
      </c>
      <c r="F17" s="42" t="n">
        <v>40</v>
      </c>
      <c r="G17" s="32" t="inlineStr">
        <is>
          <t>-</t>
        </is>
      </c>
      <c r="H17" s="42" t="n">
        <v>4258</v>
      </c>
      <c r="I17" s="42" t="n">
        <v>6829</v>
      </c>
      <c r="J17" s="32" t="inlineStr">
        <is>
          <t>-</t>
        </is>
      </c>
      <c r="K17" s="83" t="inlineStr">
        <is>
          <t>план выполнен</t>
        </is>
      </c>
    </row>
    <row r="18">
      <c r="A18" s="53" t="inlineStr">
        <is>
          <t>ЛЕНТА ЧЛБ</t>
        </is>
      </c>
      <c r="B18" s="67" t="n">
        <v>125</v>
      </c>
      <c r="C18" s="55" t="n">
        <v>432</v>
      </c>
      <c r="D18" s="73">
        <f>(C18-B18)/C18</f>
        <v/>
      </c>
      <c r="E18" s="42" t="n">
        <v>52</v>
      </c>
      <c r="F18" s="42" t="n">
        <v>52</v>
      </c>
      <c r="G18" s="43">
        <f>(F18-E18)/F18</f>
        <v/>
      </c>
      <c r="H18" s="42" t="n">
        <v>32496</v>
      </c>
      <c r="I18" s="42" t="n">
        <v>27030</v>
      </c>
      <c r="J18" s="43">
        <f>(I18-H18)/I18</f>
        <v/>
      </c>
      <c r="K18" s="83" t="inlineStr">
        <is>
          <t>план выполнен</t>
        </is>
      </c>
    </row>
    <row r="19">
      <c r="A19" s="84" t="inlineStr">
        <is>
          <t>ОБИ МСК</t>
        </is>
      </c>
      <c r="B19" s="67" t="n">
        <v>100</v>
      </c>
      <c r="C19" s="55" t="n">
        <v>52</v>
      </c>
      <c r="D19" s="40">
        <f>(C19-B19)/C19</f>
        <v/>
      </c>
      <c r="E19" s="42" t="n">
        <v>0</v>
      </c>
      <c r="F19" s="42" t="n">
        <v>121</v>
      </c>
      <c r="G19" s="43">
        <f>(F19-E19)/F19</f>
        <v/>
      </c>
      <c r="H19" s="42" t="n">
        <v>0</v>
      </c>
      <c r="I19" s="42" t="n">
        <v>7152</v>
      </c>
      <c r="J19" s="43">
        <f>(I19-H19)/I19</f>
        <v/>
      </c>
      <c r="K19" s="83" t="n"/>
    </row>
    <row r="20">
      <c r="A20" s="68" t="n"/>
      <c r="B20" s="68" t="n"/>
      <c r="C20" s="68" t="n"/>
      <c r="D20" s="68" t="n"/>
      <c r="E20" s="69">
        <f>SUM(E3:E18)/16</f>
        <v/>
      </c>
      <c r="F20" s="69">
        <f>SUM(F3:F18)/16</f>
        <v/>
      </c>
      <c r="G20" s="68" t="n"/>
      <c r="H20" s="68" t="n"/>
      <c r="I20" s="68" t="n"/>
      <c r="J20" s="68" t="n"/>
    </row>
    <row r="21">
      <c r="A21" s="68" t="n"/>
      <c r="B21" s="68" t="n"/>
      <c r="C21" s="68" t="n"/>
      <c r="D21" s="68" t="n"/>
      <c r="E21" s="68" t="n"/>
      <c r="F21" s="68" t="n"/>
      <c r="G21" s="68" t="n"/>
      <c r="H21" s="68" t="n"/>
      <c r="I21" s="68" t="n"/>
      <c r="J21" s="68" t="n"/>
    </row>
  </sheetData>
  <mergeCells count="5">
    <mergeCell ref="E1:F1"/>
    <mergeCell ref="H1:I1"/>
    <mergeCell ref="G1:G2"/>
    <mergeCell ref="B1:C1"/>
    <mergeCell ref="J1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24"/>
  <sheetViews>
    <sheetView workbookViewId="0">
      <selection activeCell="A1" sqref="A1"/>
    </sheetView>
  </sheetViews>
  <sheetFormatPr baseColWidth="8" defaultColWidth="14.43" defaultRowHeight="15" customHeight="1"/>
  <cols>
    <col width="20.86" customWidth="1" style="90" min="1" max="1"/>
    <col width="19.29" customWidth="1" style="90" min="2" max="2"/>
    <col width="22.57" customWidth="1" style="90" min="3" max="3"/>
    <col width="17.57" customWidth="1" style="90" min="4" max="4"/>
    <col width="21.86" customWidth="1" style="90" min="5" max="5"/>
    <col width="22.29" customWidth="1" style="90" min="6" max="6"/>
    <col width="17.29" customWidth="1" style="90" min="8" max="8"/>
    <col width="16.86" customWidth="1" style="90" min="9" max="9"/>
    <col width="17.29" customWidth="1" style="90" min="10" max="10"/>
  </cols>
  <sheetData>
    <row r="1">
      <c r="A1" s="1" t="inlineStr">
        <is>
          <t>Регион</t>
        </is>
      </c>
      <c r="B1" s="91" t="inlineStr">
        <is>
          <t>Лиды с 20 по 26</t>
        </is>
      </c>
      <c r="C1" s="92" t="n"/>
      <c r="D1" s="4" t="inlineStr">
        <is>
          <t>Динамика Лидов</t>
        </is>
      </c>
      <c r="E1" s="93" t="inlineStr">
        <is>
          <t>Стоимость 
лида</t>
        </is>
      </c>
      <c r="F1" s="92" t="n"/>
      <c r="G1" s="94" t="inlineStr">
        <is>
          <t>Динамика стоимости  (лиды)</t>
        </is>
      </c>
      <c r="H1" s="93" t="inlineStr">
        <is>
          <t xml:space="preserve"> Расход</t>
        </is>
      </c>
      <c r="I1" s="92" t="n"/>
      <c r="J1" s="94" t="inlineStr">
        <is>
          <t>Динамика стоимости  (Затрат)</t>
        </is>
      </c>
    </row>
    <row r="2">
      <c r="A2" s="7" t="n"/>
      <c r="B2" s="10" t="inlineStr">
        <is>
          <t xml:space="preserve">План </t>
        </is>
      </c>
      <c r="C2" s="10" t="inlineStr">
        <is>
          <t>Факт</t>
        </is>
      </c>
      <c r="D2" s="9" t="n"/>
      <c r="E2" s="10" t="inlineStr">
        <is>
          <t>с 13 по 19</t>
        </is>
      </c>
      <c r="F2" s="10" t="inlineStr">
        <is>
          <t>с 20 по 26</t>
        </is>
      </c>
      <c r="G2" s="95" t="n"/>
      <c r="H2" s="10" t="inlineStr">
        <is>
          <t>с 13 по 19</t>
        </is>
      </c>
      <c r="I2" s="10" t="inlineStr">
        <is>
          <t>с 20 по 26</t>
        </is>
      </c>
      <c r="J2" s="95" t="n"/>
    </row>
    <row r="3">
      <c r="A3" s="12" t="inlineStr">
        <is>
          <t>МАГНИТ КРД</t>
        </is>
      </c>
      <c r="B3" s="70" t="n">
        <v>300</v>
      </c>
      <c r="C3" s="14" t="n">
        <v>276</v>
      </c>
      <c r="D3" s="15">
        <f>(C3-B3)/C3</f>
        <v/>
      </c>
      <c r="E3" s="20" t="n">
        <v>50</v>
      </c>
      <c r="F3" s="20" t="n">
        <v>62</v>
      </c>
      <c r="G3" s="17">
        <f>(F3-E3)/F3</f>
        <v/>
      </c>
      <c r="H3" s="24" t="n">
        <v>8757</v>
      </c>
      <c r="I3" s="24" t="n">
        <v>17366</v>
      </c>
      <c r="J3" s="15">
        <f>(I3-H3)/I3</f>
        <v/>
      </c>
    </row>
    <row r="4">
      <c r="A4" s="12" t="inlineStr">
        <is>
          <t>ЛЕНТА КРД</t>
        </is>
      </c>
      <c r="B4" s="70" t="n">
        <v>300</v>
      </c>
      <c r="C4" s="14" t="n">
        <v>661</v>
      </c>
      <c r="D4" s="82">
        <f>(C4-B4)/C4</f>
        <v/>
      </c>
      <c r="E4" s="20" t="n">
        <v>67</v>
      </c>
      <c r="F4" s="20" t="n">
        <v>61</v>
      </c>
      <c r="G4" s="82">
        <f>(F4-E4)/F4</f>
        <v/>
      </c>
      <c r="H4" s="24" t="n">
        <v>28253</v>
      </c>
      <c r="I4" s="24" t="n">
        <v>39485</v>
      </c>
      <c r="J4" s="15">
        <f>(I4-H4)/I4</f>
        <v/>
      </c>
      <c r="K4" s="83" t="inlineStr">
        <is>
          <t>план выполнен</t>
        </is>
      </c>
    </row>
    <row r="5">
      <c r="A5" s="12" t="inlineStr">
        <is>
          <t>САДЫ КРД</t>
        </is>
      </c>
      <c r="B5" s="70" t="n">
        <v>113</v>
      </c>
      <c r="C5" s="14" t="n">
        <v>113</v>
      </c>
      <c r="D5" s="82">
        <f>(C5-B5)/C5</f>
        <v/>
      </c>
      <c r="E5" s="20" t="n">
        <v>62</v>
      </c>
      <c r="F5" s="20" t="n">
        <v>0</v>
      </c>
      <c r="G5" s="15">
        <f>(F5-E5)/F5</f>
        <v/>
      </c>
      <c r="H5" s="24" t="n">
        <v>9159</v>
      </c>
      <c r="I5" s="24" t="n">
        <v>0</v>
      </c>
      <c r="J5" s="19">
        <f>(I5-H5)/I5</f>
        <v/>
      </c>
      <c r="K5" s="83" t="inlineStr">
        <is>
          <t>снята потребность 15.04</t>
        </is>
      </c>
    </row>
    <row r="6">
      <c r="A6" s="21" t="inlineStr">
        <is>
          <t>ПЯТЕРОЧКА КЗН</t>
        </is>
      </c>
      <c r="B6" s="65" t="n">
        <v>75</v>
      </c>
      <c r="C6" s="29" t="n">
        <v>77</v>
      </c>
      <c r="D6" s="82">
        <f>(C6-B6)/C6</f>
        <v/>
      </c>
      <c r="E6" s="20" t="n">
        <v>126</v>
      </c>
      <c r="F6" s="20" t="n">
        <v>155</v>
      </c>
      <c r="G6" s="71">
        <f>(F6-E6)/F6</f>
        <v/>
      </c>
      <c r="H6" s="24" t="n">
        <v>8968</v>
      </c>
      <c r="I6" s="24" t="n">
        <v>9146</v>
      </c>
      <c r="J6" s="15">
        <f>(I6-H6)/I6</f>
        <v/>
      </c>
    </row>
    <row r="7">
      <c r="A7" s="21" t="inlineStr">
        <is>
          <t>ТАБЫШ КЗН</t>
        </is>
      </c>
      <c r="B7" s="65" t="n">
        <v>87</v>
      </c>
      <c r="C7" s="29" t="n">
        <v>79</v>
      </c>
      <c r="D7" s="15">
        <f>(C7-B7)/C7</f>
        <v/>
      </c>
      <c r="E7" s="57" t="n">
        <v>112</v>
      </c>
      <c r="F7" s="57" t="n">
        <v>58</v>
      </c>
      <c r="G7" s="85">
        <f>(F7-E7)/F7</f>
        <v/>
      </c>
      <c r="H7" s="58" t="n">
        <v>4388</v>
      </c>
      <c r="I7" s="58" t="n">
        <v>3539</v>
      </c>
      <c r="J7" s="85">
        <f>(I7-H7)/I7</f>
        <v/>
      </c>
    </row>
    <row r="8">
      <c r="A8" s="21" t="inlineStr">
        <is>
          <t>КБ САМАРА( кабинет кзн)</t>
        </is>
      </c>
      <c r="B8" s="65" t="n">
        <v>125</v>
      </c>
      <c r="C8" s="29" t="n">
        <v>286</v>
      </c>
      <c r="D8" s="82">
        <f>(C8-B8)/C8</f>
        <v/>
      </c>
      <c r="E8" s="31" t="n">
        <v>36</v>
      </c>
      <c r="F8" s="31" t="n">
        <v>0</v>
      </c>
      <c r="G8" s="28">
        <f>(F8-E8)/F8</f>
        <v/>
      </c>
      <c r="H8" s="24" t="n">
        <v>10368</v>
      </c>
      <c r="I8" s="24" t="n">
        <v>0</v>
      </c>
      <c r="J8" s="28">
        <f>(I8-H8)/I8</f>
        <v/>
      </c>
      <c r="K8" s="83" t="inlineStr">
        <is>
          <t>20.04 снята потребность,план выполнен</t>
        </is>
      </c>
    </row>
    <row r="9">
      <c r="A9" s="33" t="inlineStr">
        <is>
          <t>МАГНИТ КЗН</t>
        </is>
      </c>
      <c r="B9" s="72" t="n">
        <v>30</v>
      </c>
      <c r="C9" s="35" t="n">
        <v>16</v>
      </c>
      <c r="D9" s="15">
        <f>(C9-B9)/C9</f>
        <v/>
      </c>
      <c r="E9" s="37" t="n">
        <v>101</v>
      </c>
      <c r="F9" s="37" t="n">
        <v>161</v>
      </c>
      <c r="G9" s="28">
        <f>(F9-E9)/F9</f>
        <v/>
      </c>
      <c r="H9" s="39" t="n">
        <v>710</v>
      </c>
      <c r="I9" s="39" t="n">
        <v>2591</v>
      </c>
      <c r="J9" s="28">
        <f>(I9-H9)/I9</f>
        <v/>
      </c>
    </row>
    <row r="10">
      <c r="A10" s="21" t="inlineStr">
        <is>
          <t>ЛЕНТА КЗН</t>
        </is>
      </c>
      <c r="B10" s="65" t="n">
        <v>150</v>
      </c>
      <c r="C10" s="29" t="n">
        <v>335</v>
      </c>
      <c r="D10" s="73">
        <f>(C10-B10)/C10</f>
        <v/>
      </c>
      <c r="E10" s="42" t="n">
        <v>60</v>
      </c>
      <c r="F10" s="42" t="n">
        <v>78</v>
      </c>
      <c r="G10" s="28">
        <f>(F10-E10)/F10</f>
        <v/>
      </c>
      <c r="H10" s="42" t="n">
        <v>38977</v>
      </c>
      <c r="I10" s="42" t="n">
        <v>24291</v>
      </c>
      <c r="J10" s="77">
        <f>(I10-H10)/I10</f>
        <v/>
      </c>
      <c r="K10" s="83" t="inlineStr">
        <is>
          <t>план выполнен</t>
        </is>
      </c>
    </row>
    <row r="11">
      <c r="A11" s="44" t="inlineStr">
        <is>
          <t>ЛЕНТА СПБ</t>
        </is>
      </c>
      <c r="B11" s="72" t="n">
        <v>300</v>
      </c>
      <c r="C11" s="45" t="n">
        <v>357</v>
      </c>
      <c r="D11" s="73">
        <f>(C11-B11)/C11</f>
        <v/>
      </c>
      <c r="E11" s="42" t="n">
        <v>111</v>
      </c>
      <c r="F11" s="42" t="n">
        <v>130</v>
      </c>
      <c r="G11" s="43">
        <f>(F11-E11)/F11</f>
        <v/>
      </c>
      <c r="H11" s="42" t="n">
        <v>47207</v>
      </c>
      <c r="I11" s="42" t="n">
        <v>46656</v>
      </c>
      <c r="J11" s="47">
        <f>(I11-H11)/I11</f>
        <v/>
      </c>
      <c r="K11" s="83" t="inlineStr">
        <is>
          <t>план выполнен</t>
        </is>
      </c>
    </row>
    <row r="12">
      <c r="A12" s="75" t="inlineStr">
        <is>
          <t>Ростикс</t>
        </is>
      </c>
      <c r="B12" s="72" t="n">
        <v>237</v>
      </c>
      <c r="C12" s="50" t="n">
        <v>100</v>
      </c>
      <c r="D12" s="86">
        <f>(C12-B12)/C12</f>
        <v/>
      </c>
      <c r="E12" s="42" t="n">
        <v>80</v>
      </c>
      <c r="F12" s="42" t="n">
        <v>95</v>
      </c>
      <c r="G12" s="43">
        <f>(F12-E12)/F12</f>
        <v/>
      </c>
      <c r="H12" s="42" t="n">
        <v>23827</v>
      </c>
      <c r="I12" s="42" t="n">
        <v>15932</v>
      </c>
      <c r="J12" s="77">
        <f>(I12-H12)/I12</f>
        <v/>
      </c>
    </row>
    <row r="13">
      <c r="A13" s="48" t="inlineStr">
        <is>
          <t>ВВ МСК</t>
        </is>
      </c>
      <c r="B13" s="72" t="n">
        <v>200</v>
      </c>
      <c r="C13" s="50" t="n">
        <v>457</v>
      </c>
      <c r="D13" s="73">
        <f>(C13-B13)/C13</f>
        <v/>
      </c>
      <c r="E13" s="42" t="n">
        <v>50</v>
      </c>
      <c r="F13" s="42" t="n">
        <v>47</v>
      </c>
      <c r="G13" s="47">
        <f>(F13-E13)/F13</f>
        <v/>
      </c>
      <c r="H13" s="42" t="n">
        <v>14881</v>
      </c>
      <c r="I13" s="42" t="n">
        <v>21754</v>
      </c>
      <c r="J13" s="43">
        <f>(I13-H13)/I13</f>
        <v/>
      </c>
      <c r="K13" s="83" t="inlineStr">
        <is>
          <t>план выполнен</t>
        </is>
      </c>
    </row>
    <row r="14">
      <c r="A14" s="48" t="inlineStr">
        <is>
          <t>МАГНИТ МСК</t>
        </is>
      </c>
      <c r="B14" s="72" t="n">
        <v>0</v>
      </c>
      <c r="C14" s="50" t="n">
        <v>0</v>
      </c>
      <c r="D14" s="60" t="inlineStr">
        <is>
          <t>-</t>
        </is>
      </c>
      <c r="E14" s="42" t="n">
        <v>0</v>
      </c>
      <c r="F14" s="42" t="n">
        <v>0</v>
      </c>
      <c r="G14" s="60" t="inlineStr">
        <is>
          <t>-</t>
        </is>
      </c>
      <c r="H14" s="42" t="n">
        <v>0</v>
      </c>
      <c r="I14" s="42" t="n">
        <v>0</v>
      </c>
      <c r="J14" s="32" t="inlineStr">
        <is>
          <t>-</t>
        </is>
      </c>
      <c r="K14" s="83" t="inlineStr">
        <is>
          <t>нет потребности</t>
        </is>
      </c>
    </row>
    <row r="15">
      <c r="A15" s="48" t="inlineStr">
        <is>
          <t xml:space="preserve">ЛЕНТА МСК </t>
        </is>
      </c>
      <c r="B15" s="72" t="n">
        <v>175</v>
      </c>
      <c r="C15" s="50" t="n">
        <v>581</v>
      </c>
      <c r="D15" s="73">
        <f>(C15-B15)/C15</f>
        <v/>
      </c>
      <c r="E15" s="42" t="n">
        <v>77</v>
      </c>
      <c r="F15" s="42" t="n">
        <v>67</v>
      </c>
      <c r="G15" s="77">
        <f>(F15-E15)/F15</f>
        <v/>
      </c>
      <c r="H15" s="42" t="n">
        <v>47079</v>
      </c>
      <c r="I15" s="42" t="n">
        <v>39544</v>
      </c>
      <c r="J15" s="77">
        <f>(I15-H15)/I15</f>
        <v/>
      </c>
      <c r="K15" s="83" t="inlineStr">
        <is>
          <t>план выполнен</t>
        </is>
      </c>
    </row>
    <row r="16">
      <c r="A16" s="78" t="inlineStr">
        <is>
          <t>Ростикс члб</t>
        </is>
      </c>
      <c r="B16" s="72" t="n">
        <v>237</v>
      </c>
      <c r="C16" s="80" t="n">
        <v>177</v>
      </c>
      <c r="D16" s="40">
        <f>(C16-B16)/C16</f>
        <v/>
      </c>
      <c r="E16" s="42" t="n">
        <v>72</v>
      </c>
      <c r="F16" s="42" t="n">
        <v>98</v>
      </c>
      <c r="G16" s="43">
        <f>(F16-E16)/F16</f>
        <v/>
      </c>
      <c r="H16" s="42" t="n">
        <v>17483</v>
      </c>
      <c r="I16" s="42" t="n">
        <v>17367</v>
      </c>
      <c r="J16" s="61">
        <f>(I16-H16)/I16</f>
        <v/>
      </c>
    </row>
    <row r="17">
      <c r="A17" s="53" t="inlineStr">
        <is>
          <t>ТАБЫШ ЧЛБ</t>
        </is>
      </c>
      <c r="B17" s="67" t="n">
        <v>100</v>
      </c>
      <c r="C17" s="55" t="n">
        <v>253</v>
      </c>
      <c r="D17" s="73">
        <f>(C17-B17)/C17</f>
        <v/>
      </c>
      <c r="E17" s="42" t="n">
        <v>40</v>
      </c>
      <c r="F17" s="42" t="n">
        <v>42</v>
      </c>
      <c r="G17" s="32" t="inlineStr">
        <is>
          <t>-</t>
        </is>
      </c>
      <c r="H17" s="42" t="n">
        <v>6829</v>
      </c>
      <c r="I17" s="42" t="n">
        <v>8035</v>
      </c>
      <c r="J17" s="43">
        <f>(I17-H17)/I17</f>
        <v/>
      </c>
      <c r="K17" s="83" t="inlineStr">
        <is>
          <t>план выполнен</t>
        </is>
      </c>
    </row>
    <row r="18">
      <c r="A18" s="53" t="inlineStr">
        <is>
          <t>ЛЕНТА ЧЛБ</t>
        </is>
      </c>
      <c r="B18" s="67" t="n">
        <v>125</v>
      </c>
      <c r="C18" s="55" t="n">
        <v>418</v>
      </c>
      <c r="D18" s="73">
        <f>(C18-B18)/C18</f>
        <v/>
      </c>
      <c r="E18" s="42" t="n">
        <v>52</v>
      </c>
      <c r="F18" s="42" t="n">
        <v>50</v>
      </c>
      <c r="G18" s="77">
        <f>(F18-E18)/F18</f>
        <v/>
      </c>
      <c r="H18" s="42" t="n">
        <v>27030</v>
      </c>
      <c r="I18" s="42" t="n">
        <v>25692</v>
      </c>
      <c r="J18" s="77">
        <f>(I18-H18)/I18</f>
        <v/>
      </c>
      <c r="K18" s="83" t="inlineStr">
        <is>
          <t>план выполнен</t>
        </is>
      </c>
    </row>
    <row r="19">
      <c r="A19" s="84" t="inlineStr">
        <is>
          <t>ОБИ МСК</t>
        </is>
      </c>
      <c r="B19" s="67" t="n">
        <v>100</v>
      </c>
      <c r="C19" s="55" t="n">
        <v>53</v>
      </c>
      <c r="D19" s="40">
        <f>(C19-B19)/C19</f>
        <v/>
      </c>
      <c r="E19" s="42" t="n">
        <v>121</v>
      </c>
      <c r="F19" s="42" t="n">
        <v>120</v>
      </c>
      <c r="G19" s="77">
        <f>(F19-E19)/F19</f>
        <v/>
      </c>
      <c r="H19" s="42" t="n">
        <v>7152</v>
      </c>
      <c r="I19" s="42" t="n">
        <v>9702</v>
      </c>
      <c r="J19" s="43">
        <f>(I19-H19)/I19</f>
        <v/>
      </c>
      <c r="K19" s="83" t="n"/>
    </row>
    <row r="20">
      <c r="A20" s="68" t="n"/>
      <c r="B20" s="68" t="n"/>
      <c r="C20" s="68" t="n"/>
      <c r="D20" s="68" t="n"/>
      <c r="E20" s="69">
        <f>SUM(E3:E18)/16</f>
        <v/>
      </c>
      <c r="F20" s="69">
        <f>SUM(F3:F18)/16</f>
        <v/>
      </c>
      <c r="G20" s="68" t="n"/>
      <c r="H20" s="68" t="n"/>
      <c r="I20" s="68" t="n"/>
      <c r="J20" s="68" t="n"/>
    </row>
    <row r="21">
      <c r="A21" s="68" t="n"/>
      <c r="B21" s="68" t="n"/>
      <c r="C21" s="68" t="n"/>
      <c r="D21" s="68" t="n"/>
      <c r="E21" s="68" t="n"/>
      <c r="F21" s="68" t="n"/>
      <c r="G21" s="68" t="n"/>
      <c r="H21" s="68" t="n"/>
      <c r="I21" s="68" t="n"/>
      <c r="J21" s="68" t="n"/>
    </row>
    <row r="23">
      <c r="A23" s="87" t="inlineStr">
        <is>
          <t>Проект</t>
        </is>
      </c>
      <c r="B23" s="87" t="inlineStr">
        <is>
          <t>Лиды</t>
        </is>
      </c>
      <c r="C23" s="87" t="inlineStr">
        <is>
          <t>Стоимость Лида</t>
        </is>
      </c>
      <c r="D23" s="87" t="inlineStr">
        <is>
          <t>Затраты</t>
        </is>
      </c>
      <c r="E23" s="88" t="inlineStr">
        <is>
          <t>Адаптированных</t>
        </is>
      </c>
      <c r="F23" s="87" t="inlineStr">
        <is>
          <t>Конверсия</t>
        </is>
      </c>
    </row>
    <row r="24">
      <c r="A24" s="87" t="inlineStr">
        <is>
          <t>УРБАН ДИКСИ</t>
        </is>
      </c>
      <c r="B24" s="87" t="n">
        <v>126</v>
      </c>
      <c r="C24" s="87" t="n">
        <v>189</v>
      </c>
      <c r="D24" s="87" t="n">
        <v>2389</v>
      </c>
      <c r="E24" s="87" t="n">
        <v>12</v>
      </c>
      <c r="F24" s="89" t="n">
        <v>0.096</v>
      </c>
    </row>
  </sheetData>
  <mergeCells count="5">
    <mergeCell ref="E1:F1"/>
    <mergeCell ref="H1:I1"/>
    <mergeCell ref="G1:G2"/>
    <mergeCell ref="B1:C1"/>
    <mergeCell ref="J1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17"/>
  <sheetViews>
    <sheetView workbookViewId="0">
      <selection activeCell="A1" sqref="A1"/>
    </sheetView>
  </sheetViews>
  <sheetFormatPr baseColWidth="8" defaultColWidth="14.43" defaultRowHeight="15" customHeight="1"/>
  <cols>
    <col width="19.57" customWidth="1" style="90" min="1" max="1"/>
    <col width="19.86" customWidth="1" style="90" min="2" max="2"/>
  </cols>
  <sheetData>
    <row r="1">
      <c r="A1" s="12" t="inlineStr">
        <is>
          <t>МАГНИТ КРД</t>
        </is>
      </c>
      <c r="B1" s="70" t="n">
        <v>300</v>
      </c>
    </row>
    <row r="2">
      <c r="A2" s="12" t="inlineStr">
        <is>
          <t>ЛЕНТА КРД</t>
        </is>
      </c>
      <c r="B2" s="70" t="n">
        <v>300</v>
      </c>
    </row>
    <row r="3">
      <c r="A3" s="12" t="inlineStr">
        <is>
          <t>САДЫ КРД</t>
        </is>
      </c>
      <c r="B3" s="70" t="n">
        <v>113</v>
      </c>
    </row>
    <row r="4">
      <c r="A4" s="21" t="inlineStr">
        <is>
          <t>ПЯТЕРОЧКА КЗН</t>
        </is>
      </c>
      <c r="B4" s="65" t="n">
        <v>75</v>
      </c>
    </row>
    <row r="5">
      <c r="A5" s="21" t="inlineStr">
        <is>
          <t>ТАБЫШ КЗН</t>
        </is>
      </c>
      <c r="B5" s="65" t="n">
        <v>87</v>
      </c>
    </row>
    <row r="6">
      <c r="A6" s="21" t="inlineStr">
        <is>
          <t>КБ САМАРА( кабинет кзн)</t>
        </is>
      </c>
      <c r="B6" s="65" t="n">
        <v>125</v>
      </c>
    </row>
    <row r="7">
      <c r="A7" s="33" t="inlineStr">
        <is>
          <t>МАГНИТ КЗН</t>
        </is>
      </c>
      <c r="B7" s="72" t="n">
        <v>30</v>
      </c>
    </row>
    <row r="8">
      <c r="A8" s="21" t="inlineStr">
        <is>
          <t>ЛЕНТА КЗН</t>
        </is>
      </c>
      <c r="B8" s="65" t="n">
        <v>150</v>
      </c>
    </row>
    <row r="9">
      <c r="A9" s="44" t="inlineStr">
        <is>
          <t>ЛЕНТА СПБ</t>
        </is>
      </c>
      <c r="B9" s="72" t="n">
        <v>300</v>
      </c>
    </row>
    <row r="10">
      <c r="A10" s="75" t="inlineStr">
        <is>
          <t>Ростикс</t>
        </is>
      </c>
      <c r="B10" s="72" t="n">
        <v>237</v>
      </c>
    </row>
    <row r="11">
      <c r="A11" s="48" t="inlineStr">
        <is>
          <t>ВВ МСК</t>
        </is>
      </c>
      <c r="B11" s="72" t="n">
        <v>200</v>
      </c>
    </row>
    <row r="12">
      <c r="A12" s="48" t="inlineStr">
        <is>
          <t>МАГНИТ МСК</t>
        </is>
      </c>
      <c r="B12" s="72" t="n">
        <v>0</v>
      </c>
    </row>
    <row r="13">
      <c r="A13" s="48" t="inlineStr">
        <is>
          <t xml:space="preserve">ЛЕНТА МСК </t>
        </is>
      </c>
      <c r="B13" s="72" t="n">
        <v>175</v>
      </c>
    </row>
    <row r="14">
      <c r="A14" s="78" t="inlineStr">
        <is>
          <t>Ростикс члб</t>
        </is>
      </c>
      <c r="B14" s="72" t="n">
        <v>237</v>
      </c>
    </row>
    <row r="15">
      <c r="A15" s="53" t="inlineStr">
        <is>
          <t>ТАБЫШ ЧЛБ</t>
        </is>
      </c>
      <c r="B15" s="67" t="n">
        <v>100</v>
      </c>
    </row>
    <row r="16">
      <c r="A16" s="53" t="inlineStr">
        <is>
          <t>ЛЕНТА ЧЛБ</t>
        </is>
      </c>
      <c r="B16" s="67" t="n">
        <v>125</v>
      </c>
    </row>
    <row r="17">
      <c r="A17" s="84" t="inlineStr">
        <is>
          <t>ОБИ МСК</t>
        </is>
      </c>
      <c r="B17" s="67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style="90" min="1" max="1"/>
    <col width="10" customWidth="1" style="90" min="2" max="2"/>
    <col width="10" customWidth="1" style="90" min="3" max="3"/>
    <col width="10" customWidth="1" style="90" min="4" max="4"/>
    <col width="10" customWidth="1" style="90" min="5" max="5"/>
    <col width="10" customWidth="1" style="90" min="6" max="6"/>
    <col width="10" customWidth="1" style="90" min="7" max="7"/>
    <col width="10" customWidth="1" style="90" min="8" max="8"/>
    <col width="10" customWidth="1" style="90" min="9" max="9"/>
    <col width="10" customWidth="1" style="90" min="10" max="10"/>
    <col width="10" customWidth="1" style="90" min="11" max="11"/>
  </cols>
  <sheetData>
    <row r="1" ht="28" customHeight="1" s="90">
      <c r="A1" s="96" t="inlineStr">
        <is>
          <t>Апрель 2026 — Лиды по проектам и неделям</t>
        </is>
      </c>
    </row>
    <row r="2" ht="22" customHeight="1" s="90">
      <c r="A2" s="104" t="inlineStr">
        <is>
          <t>Проект</t>
        </is>
      </c>
      <c r="B2" s="105" t="inlineStr">
        <is>
          <t>30.03–05.04</t>
        </is>
      </c>
      <c r="D2" s="105" t="inlineStr">
        <is>
          <t>06.04–12.04</t>
        </is>
      </c>
      <c r="F2" s="105" t="inlineStr">
        <is>
          <t>13.04–19.04</t>
        </is>
      </c>
      <c r="H2" s="105" t="inlineStr">
        <is>
          <t>20.04–26.04</t>
        </is>
      </c>
      <c r="J2" s="105" t="inlineStr">
        <is>
          <t>ИТОГО</t>
        </is>
      </c>
    </row>
    <row r="3" ht="18" customHeight="1" s="90">
      <c r="A3" s="106" t="inlineStr"/>
      <c r="B3" s="107" t="inlineStr">
        <is>
          <t>План</t>
        </is>
      </c>
      <c r="C3" s="107" t="inlineStr">
        <is>
          <t>Факт</t>
        </is>
      </c>
      <c r="D3" s="107" t="inlineStr">
        <is>
          <t>План</t>
        </is>
      </c>
      <c r="E3" s="107" t="inlineStr">
        <is>
          <t>Факт</t>
        </is>
      </c>
      <c r="F3" s="107" t="inlineStr">
        <is>
          <t>План</t>
        </is>
      </c>
      <c r="G3" s="107" t="inlineStr">
        <is>
          <t>Факт</t>
        </is>
      </c>
      <c r="H3" s="107" t="inlineStr">
        <is>
          <t>План</t>
        </is>
      </c>
      <c r="I3" s="107" t="inlineStr">
        <is>
          <t>Факт</t>
        </is>
      </c>
      <c r="J3" s="107" t="inlineStr">
        <is>
          <t>План</t>
        </is>
      </c>
      <c r="K3" s="107" t="inlineStr">
        <is>
          <t>Факт</t>
        </is>
      </c>
    </row>
    <row r="4" ht="18" customHeight="1" s="90">
      <c r="A4" s="108" t="inlineStr">
        <is>
          <t>МАГНИТ КРД</t>
        </is>
      </c>
      <c r="B4" s="109" t="n">
        <v>425</v>
      </c>
      <c r="C4" s="109" t="n">
        <v>108</v>
      </c>
      <c r="D4" s="109" t="n">
        <v>300</v>
      </c>
      <c r="E4" s="109" t="n">
        <v>76</v>
      </c>
      <c r="F4" s="109" t="n">
        <v>300</v>
      </c>
      <c r="G4" s="109" t="n">
        <v>175</v>
      </c>
      <c r="H4" s="109" t="n">
        <v>300</v>
      </c>
      <c r="I4" s="109" t="n">
        <v>276</v>
      </c>
      <c r="J4" s="110" t="n">
        <v>1325</v>
      </c>
      <c r="K4" s="111" t="n">
        <v>635</v>
      </c>
    </row>
    <row r="5" ht="18" customHeight="1" s="90">
      <c r="A5" s="112" t="inlineStr">
        <is>
          <t>ЛЕНТА КРД</t>
        </is>
      </c>
      <c r="B5" s="113" t="n">
        <v>900</v>
      </c>
      <c r="C5" s="113" t="n">
        <v>690</v>
      </c>
      <c r="D5" s="113" t="n">
        <v>300</v>
      </c>
      <c r="E5" s="113" t="n">
        <v>570</v>
      </c>
      <c r="F5" s="113" t="n">
        <v>300</v>
      </c>
      <c r="G5" s="113" t="n">
        <v>392</v>
      </c>
      <c r="H5" s="113" t="n">
        <v>300</v>
      </c>
      <c r="I5" s="113" t="n">
        <v>661</v>
      </c>
      <c r="J5" s="114" t="n">
        <v>1800</v>
      </c>
      <c r="K5" s="115" t="n">
        <v>2313</v>
      </c>
    </row>
    <row r="6" ht="18" customHeight="1" s="90">
      <c r="A6" s="108" t="inlineStr">
        <is>
          <t>САДЫ КРД</t>
        </is>
      </c>
      <c r="B6" s="109" t="n">
        <v>250</v>
      </c>
      <c r="C6" s="109" t="n">
        <v>73</v>
      </c>
      <c r="D6" s="109" t="n">
        <v>113</v>
      </c>
      <c r="E6" s="109" t="n">
        <v>113</v>
      </c>
      <c r="F6" s="109" t="n">
        <v>113</v>
      </c>
      <c r="G6" s="109" t="n">
        <v>113</v>
      </c>
      <c r="H6" s="109" t="n">
        <v>113</v>
      </c>
      <c r="I6" s="109" t="n">
        <v>113</v>
      </c>
      <c r="J6" s="110" t="n">
        <v>589</v>
      </c>
      <c r="K6" s="110" t="n">
        <v>412</v>
      </c>
    </row>
    <row r="7" ht="18" customHeight="1" s="90">
      <c r="A7" s="112" t="inlineStr">
        <is>
          <t>ПЯТЕРОЧКА КЗН</t>
        </is>
      </c>
      <c r="B7" s="113" t="n">
        <v>75</v>
      </c>
      <c r="C7" s="113" t="n">
        <v>16</v>
      </c>
      <c r="D7" s="113" t="n">
        <v>75</v>
      </c>
      <c r="E7" s="113" t="n">
        <v>42</v>
      </c>
      <c r="F7" s="113" t="n">
        <v>75</v>
      </c>
      <c r="G7" s="113" t="n">
        <v>71</v>
      </c>
      <c r="H7" s="113" t="n">
        <v>75</v>
      </c>
      <c r="I7" s="113" t="n">
        <v>77</v>
      </c>
      <c r="J7" s="114" t="n">
        <v>300</v>
      </c>
      <c r="K7" s="116" t="n">
        <v>206</v>
      </c>
    </row>
    <row r="8" ht="18" customHeight="1" s="90">
      <c r="A8" s="108" t="inlineStr">
        <is>
          <t>ТАБЫШ КЗН</t>
        </is>
      </c>
      <c r="B8" s="109" t="n">
        <v>160</v>
      </c>
      <c r="C8" s="109" t="n">
        <v>58</v>
      </c>
      <c r="D8" s="109" t="n">
        <v>87</v>
      </c>
      <c r="E8" s="109" t="n">
        <v>50</v>
      </c>
      <c r="F8" s="109" t="n">
        <v>87</v>
      </c>
      <c r="G8" s="109" t="n">
        <v>39</v>
      </c>
      <c r="H8" s="109" t="n">
        <v>87</v>
      </c>
      <c r="I8" s="109" t="n">
        <v>79</v>
      </c>
      <c r="J8" s="110" t="n">
        <v>421</v>
      </c>
      <c r="K8" s="111" t="n">
        <v>226</v>
      </c>
    </row>
    <row r="9" ht="18" customHeight="1" s="90">
      <c r="A9" s="112" t="inlineStr">
        <is>
          <t>КБ САМАРА( кабинет кзн)</t>
        </is>
      </c>
      <c r="B9" s="113" t="n">
        <v>210</v>
      </c>
      <c r="C9" s="113" t="inlineStr">
        <is>
          <t>—</t>
        </is>
      </c>
      <c r="D9" s="113" t="n">
        <v>125</v>
      </c>
      <c r="E9" s="113" t="n">
        <v>450</v>
      </c>
      <c r="F9" s="113" t="n">
        <v>125</v>
      </c>
      <c r="G9" s="113" t="n">
        <v>286</v>
      </c>
      <c r="H9" s="113" t="n">
        <v>125</v>
      </c>
      <c r="I9" s="113" t="n">
        <v>286</v>
      </c>
      <c r="J9" s="114" t="n">
        <v>585</v>
      </c>
      <c r="K9" s="115" t="n">
        <v>1022</v>
      </c>
    </row>
    <row r="10" ht="18" customHeight="1" s="90">
      <c r="A10" s="108" t="inlineStr">
        <is>
          <t>МАГНИТ КЗН</t>
        </is>
      </c>
      <c r="B10" s="109" t="inlineStr">
        <is>
          <t>—</t>
        </is>
      </c>
      <c r="C10" s="109" t="inlineStr">
        <is>
          <t>—</t>
        </is>
      </c>
      <c r="D10" s="109" t="n">
        <v>30</v>
      </c>
      <c r="E10" s="109" t="n">
        <v>3</v>
      </c>
      <c r="F10" s="109" t="n">
        <v>30</v>
      </c>
      <c r="G10" s="109" t="n">
        <v>7</v>
      </c>
      <c r="H10" s="109" t="n">
        <v>30</v>
      </c>
      <c r="I10" s="109" t="n">
        <v>16</v>
      </c>
      <c r="J10" s="110" t="n">
        <v>90</v>
      </c>
      <c r="K10" s="111" t="n">
        <v>26</v>
      </c>
    </row>
    <row r="11" ht="18" customHeight="1" s="90">
      <c r="A11" s="112" t="inlineStr">
        <is>
          <t>ЛЕНТА КЗН</t>
        </is>
      </c>
      <c r="B11" s="113" t="n">
        <v>425</v>
      </c>
      <c r="C11" s="113" t="n">
        <v>566</v>
      </c>
      <c r="D11" s="113" t="n">
        <v>150</v>
      </c>
      <c r="E11" s="113" t="n">
        <v>1314</v>
      </c>
      <c r="F11" s="113" t="n">
        <v>150</v>
      </c>
      <c r="G11" s="113" t="n">
        <v>1314</v>
      </c>
      <c r="H11" s="113" t="n">
        <v>150</v>
      </c>
      <c r="I11" s="113" t="n">
        <v>335</v>
      </c>
      <c r="J11" s="114" t="n">
        <v>875</v>
      </c>
      <c r="K11" s="115" t="n">
        <v>3529</v>
      </c>
    </row>
    <row r="12" ht="18" customHeight="1" s="90">
      <c r="A12" s="108" t="inlineStr">
        <is>
          <t>ЛЕНТА СПБ</t>
        </is>
      </c>
      <c r="B12" s="109" t="inlineStr">
        <is>
          <t>—</t>
        </is>
      </c>
      <c r="C12" s="109" t="n">
        <v>612</v>
      </c>
      <c r="D12" s="109" t="n">
        <v>300</v>
      </c>
      <c r="E12" s="109" t="n">
        <v>467</v>
      </c>
      <c r="F12" s="109" t="n">
        <v>300</v>
      </c>
      <c r="G12" s="109" t="n">
        <v>423</v>
      </c>
      <c r="H12" s="109" t="n">
        <v>300</v>
      </c>
      <c r="I12" s="109" t="n">
        <v>357</v>
      </c>
      <c r="J12" s="110" t="n">
        <v>900</v>
      </c>
      <c r="K12" s="117" t="n">
        <v>1859</v>
      </c>
    </row>
    <row r="13" ht="18" customHeight="1" s="90">
      <c r="A13" s="112" t="inlineStr">
        <is>
          <t>ВВ МСК</t>
        </is>
      </c>
      <c r="B13" s="113" t="inlineStr">
        <is>
          <t>—</t>
        </is>
      </c>
      <c r="C13" s="113" t="n">
        <v>109</v>
      </c>
      <c r="D13" s="113" t="n">
        <v>200</v>
      </c>
      <c r="E13" s="113" t="n">
        <v>457</v>
      </c>
      <c r="F13" s="113" t="n">
        <v>200</v>
      </c>
      <c r="G13" s="113" t="n">
        <v>293</v>
      </c>
      <c r="H13" s="113" t="n">
        <v>200</v>
      </c>
      <c r="I13" s="113" t="n">
        <v>457</v>
      </c>
      <c r="J13" s="114" t="n">
        <v>600</v>
      </c>
      <c r="K13" s="115" t="n">
        <v>1316</v>
      </c>
    </row>
    <row r="14" ht="18" customHeight="1" s="90">
      <c r="A14" s="108" t="inlineStr">
        <is>
          <t>ЛЕНТА МСК</t>
        </is>
      </c>
      <c r="B14" s="109" t="inlineStr">
        <is>
          <t>—</t>
        </is>
      </c>
      <c r="C14" s="109" t="n">
        <v>393</v>
      </c>
      <c r="D14" s="109" t="n">
        <v>175</v>
      </c>
      <c r="E14" s="109" t="n">
        <v>1424</v>
      </c>
      <c r="F14" s="109" t="n">
        <v>175</v>
      </c>
      <c r="G14" s="109" t="n">
        <v>524</v>
      </c>
      <c r="H14" s="109" t="n">
        <v>175</v>
      </c>
      <c r="I14" s="109" t="n">
        <v>581</v>
      </c>
      <c r="J14" s="110" t="n">
        <v>525</v>
      </c>
      <c r="K14" s="117" t="n">
        <v>2922</v>
      </c>
    </row>
    <row r="15" ht="18" customHeight="1" s="90">
      <c r="A15" s="112" t="inlineStr">
        <is>
          <t>ТАБЫШ ЧЛБ</t>
        </is>
      </c>
      <c r="B15" s="113" t="n">
        <v>350</v>
      </c>
      <c r="C15" s="113" t="n">
        <v>81</v>
      </c>
      <c r="D15" s="113" t="n">
        <v>100</v>
      </c>
      <c r="E15" s="113" t="n">
        <v>100</v>
      </c>
      <c r="F15" s="113" t="n">
        <v>100</v>
      </c>
      <c r="G15" s="113" t="n">
        <v>205</v>
      </c>
      <c r="H15" s="113" t="n">
        <v>100</v>
      </c>
      <c r="I15" s="113" t="n">
        <v>253</v>
      </c>
      <c r="J15" s="114" t="n">
        <v>650</v>
      </c>
      <c r="K15" s="114" t="n">
        <v>639</v>
      </c>
    </row>
    <row r="16" ht="18" customHeight="1" s="90">
      <c r="A16" s="108" t="inlineStr">
        <is>
          <t>ЛЕНТА ЧЛБ</t>
        </is>
      </c>
      <c r="B16" s="109" t="n">
        <v>500</v>
      </c>
      <c r="C16" s="109" t="n">
        <v>473</v>
      </c>
      <c r="D16" s="109" t="n">
        <v>125</v>
      </c>
      <c r="E16" s="109" t="n">
        <v>758</v>
      </c>
      <c r="F16" s="109" t="n">
        <v>125</v>
      </c>
      <c r="G16" s="109" t="n">
        <v>432</v>
      </c>
      <c r="H16" s="109" t="n">
        <v>125</v>
      </c>
      <c r="I16" s="109" t="n">
        <v>418</v>
      </c>
      <c r="J16" s="110" t="n">
        <v>875</v>
      </c>
      <c r="K16" s="117" t="n">
        <v>2081</v>
      </c>
    </row>
    <row r="17" ht="18" customHeight="1" s="90">
      <c r="A17" s="112" t="inlineStr">
        <is>
          <t>Ростикс</t>
        </is>
      </c>
      <c r="B17" s="113" t="inlineStr">
        <is>
          <t>—</t>
        </is>
      </c>
      <c r="C17" s="113" t="inlineStr">
        <is>
          <t>—</t>
        </is>
      </c>
      <c r="D17" s="113" t="n">
        <v>237</v>
      </c>
      <c r="E17" s="113" t="n">
        <v>54</v>
      </c>
      <c r="F17" s="113" t="n">
        <v>237</v>
      </c>
      <c r="G17" s="113" t="n">
        <v>87</v>
      </c>
      <c r="H17" s="113" t="n">
        <v>237</v>
      </c>
      <c r="I17" s="113" t="n">
        <v>100</v>
      </c>
      <c r="J17" s="114" t="n">
        <v>711</v>
      </c>
      <c r="K17" s="116" t="n">
        <v>241</v>
      </c>
    </row>
    <row r="18" ht="18" customHeight="1" s="90">
      <c r="A18" s="108" t="inlineStr">
        <is>
          <t>Ростикс члб</t>
        </is>
      </c>
      <c r="B18" s="109" t="inlineStr">
        <is>
          <t>—</t>
        </is>
      </c>
      <c r="C18" s="109" t="inlineStr">
        <is>
          <t>—</t>
        </is>
      </c>
      <c r="D18" s="109" t="n">
        <v>237</v>
      </c>
      <c r="E18" s="109" t="n">
        <v>206</v>
      </c>
      <c r="F18" s="109" t="n">
        <v>237</v>
      </c>
      <c r="G18" s="109" t="n">
        <v>342</v>
      </c>
      <c r="H18" s="109" t="n">
        <v>237</v>
      </c>
      <c r="I18" s="109" t="n">
        <v>177</v>
      </c>
      <c r="J18" s="110" t="n">
        <v>711</v>
      </c>
      <c r="K18" s="117" t="n">
        <v>725</v>
      </c>
    </row>
    <row r="19" ht="18" customHeight="1" s="90">
      <c r="A19" s="112" t="inlineStr">
        <is>
          <t>ОБИ МСК</t>
        </is>
      </c>
      <c r="B19" s="113" t="inlineStr">
        <is>
          <t>—</t>
        </is>
      </c>
      <c r="C19" s="113" t="inlineStr">
        <is>
          <t>—</t>
        </is>
      </c>
      <c r="D19" s="113" t="inlineStr">
        <is>
          <t>—</t>
        </is>
      </c>
      <c r="E19" s="113" t="inlineStr">
        <is>
          <t>—</t>
        </is>
      </c>
      <c r="F19" s="113" t="n">
        <v>100</v>
      </c>
      <c r="G19" s="113" t="n">
        <v>52</v>
      </c>
      <c r="H19" s="113" t="n">
        <v>100</v>
      </c>
      <c r="I19" s="113" t="n">
        <v>53</v>
      </c>
      <c r="J19" s="114" t="n">
        <v>200</v>
      </c>
      <c r="K19" s="116" t="n">
        <v>105</v>
      </c>
    </row>
    <row r="20" ht="22" customHeight="1" s="90">
      <c r="A20" s="118" t="inlineStr">
        <is>
          <t>ИТОГО</t>
        </is>
      </c>
      <c r="B20" s="119" t="n">
        <v>3295</v>
      </c>
      <c r="C20" s="119" t="n">
        <v>3179</v>
      </c>
      <c r="D20" s="119" t="n">
        <v>2554</v>
      </c>
      <c r="E20" s="119" t="n">
        <v>6084</v>
      </c>
      <c r="F20" s="119" t="n">
        <v>2654</v>
      </c>
      <c r="G20" s="119" t="n">
        <v>4755</v>
      </c>
      <c r="H20" s="119" t="n">
        <v>2654</v>
      </c>
      <c r="I20" s="119" t="n">
        <v>4239</v>
      </c>
      <c r="J20" s="119" t="n">
        <v>11157</v>
      </c>
      <c r="K20" s="119" t="n">
        <v>18257</v>
      </c>
    </row>
  </sheetData>
  <mergeCells count="6">
    <mergeCell ref="F2:G2"/>
    <mergeCell ref="B2:C2"/>
    <mergeCell ref="H2:I2"/>
    <mergeCell ref="D2:E2"/>
    <mergeCell ref="J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2026-04-27T12:45:32Z</dcterms:created>
  <dcterms:modified xmlns:dcterms="http://purl.org/dc/terms/" xmlns:xsi="http://www.w3.org/2001/XMLSchema-instance" xsi:type="dcterms:W3CDTF">2026-04-27T12:48:15Z</dcterms:modified>
</cp:coreProperties>
</file>